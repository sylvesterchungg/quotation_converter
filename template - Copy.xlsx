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lvester Chung\Desktop\QCF mini tools\"/>
    </mc:Choice>
  </mc:AlternateContent>
  <xr:revisionPtr revIDLastSave="0" documentId="13_ncr:1_{597B9BBD-D8B9-4A47-8DAE-A90630E3B2DD}" xr6:coauthVersionLast="47" xr6:coauthVersionMax="47" xr10:uidLastSave="{00000000-0000-0000-0000-000000000000}"/>
  <bookViews>
    <workbookView xWindow="-28920" yWindow="-3585" windowWidth="29040" windowHeight="15720" tabRatio="449" xr2:uid="{898A59BC-35DC-4CBF-9EF0-D032C6A7D218}"/>
  </bookViews>
  <sheets>
    <sheet name="LEV-RO-IT-2025-0014" sheetId="6" r:id="rId1"/>
  </sheets>
  <definedNames>
    <definedName name="_xlnm.Print_Area" localSheetId="0">'LEV-RO-IT-2025-0014'!$A$1:$N$36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6" l="1"/>
  <c r="K14" i="6"/>
  <c r="I14" i="6"/>
  <c r="I15" i="6" s="1"/>
  <c r="I16" i="6" s="1"/>
  <c r="K15" i="6" l="1"/>
  <c r="K16" i="6" s="1"/>
  <c r="M15" i="6"/>
  <c r="M16" i="6" s="1"/>
</calcChain>
</file>

<file path=xl/sharedStrings.xml><?xml version="1.0" encoding="utf-8"?>
<sst xmlns="http://schemas.openxmlformats.org/spreadsheetml/2006/main" count="128" uniqueCount="51">
  <si>
    <t xml:space="preserve">Date: </t>
  </si>
  <si>
    <t>Descriptions</t>
  </si>
  <si>
    <t>QTY</t>
  </si>
  <si>
    <t>UOM</t>
  </si>
  <si>
    <t>Vendors</t>
  </si>
  <si>
    <t>Total Value Excluded Tax</t>
  </si>
  <si>
    <t xml:space="preserve">Sales &amp; Service Tax </t>
  </si>
  <si>
    <t>Total Value Included Tax</t>
  </si>
  <si>
    <t>i</t>
  </si>
  <si>
    <t>iii</t>
  </si>
  <si>
    <t>D</t>
  </si>
  <si>
    <t>Procurement Recommendation</t>
  </si>
  <si>
    <t>E</t>
  </si>
  <si>
    <t>End User Assessment and Recommendation</t>
  </si>
  <si>
    <t>Prepared by:</t>
  </si>
  <si>
    <t>Verified by:</t>
  </si>
  <si>
    <t>Approved by:</t>
  </si>
  <si>
    <t>Asst Procurement Manager</t>
  </si>
  <si>
    <t>Snr. Procurement Manager</t>
  </si>
  <si>
    <t>Lee</t>
  </si>
  <si>
    <t>A</t>
  </si>
  <si>
    <t>B</t>
  </si>
  <si>
    <t>C</t>
  </si>
  <si>
    <t>Delivery Period</t>
  </si>
  <si>
    <t>Payment term</t>
  </si>
  <si>
    <t>Price comparison between lowest value</t>
  </si>
  <si>
    <t>Price comparison between lowest %</t>
  </si>
  <si>
    <t>Approved by</t>
  </si>
  <si>
    <t>F</t>
  </si>
  <si>
    <t>RO:</t>
  </si>
  <si>
    <t>G</t>
  </si>
  <si>
    <t>H</t>
  </si>
  <si>
    <t>Conclusion</t>
  </si>
  <si>
    <t>Sivakumar</t>
  </si>
  <si>
    <t>Head of IT</t>
  </si>
  <si>
    <t>Budget:</t>
  </si>
  <si>
    <t> </t>
  </si>
  <si>
    <t xml:space="preserve"> Rate (MYR) </t>
  </si>
  <si>
    <t xml:space="preserve"> Amount (MYR) </t>
  </si>
  <si>
    <t>Quotation reference no.</t>
  </si>
  <si>
    <t>Ernest Lim</t>
  </si>
  <si>
    <t>Lee Pei Ru</t>
  </si>
  <si>
    <r>
      <t xml:space="preserve">Quote comparison form  </t>
    </r>
    <r>
      <rPr>
        <sz val="11"/>
        <color rgb="FFFF0000"/>
        <rFont val="Aptos Display"/>
        <family val="2"/>
      </rPr>
      <t>- Commercial and Technical Recommendation</t>
    </r>
  </si>
  <si>
    <t>Checked by:</t>
  </si>
  <si>
    <t>Recommended by:</t>
  </si>
  <si>
    <t>Chung Shi Huan</t>
  </si>
  <si>
    <t>Head of Engineering</t>
  </si>
  <si>
    <t>LEADER ENERGY CAPITAL SDN BHD</t>
  </si>
  <si>
    <t>Yohana Yusrin</t>
  </si>
  <si>
    <t>Senior Project Engineering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</si>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</sst>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MYR]\ #,##0.00_);[Red]\([$MYR]\ #,##0.00\)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Display"/>
      <family val="1"/>
      <scheme val="major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4"/>
      <name val="Arial"/>
      <family val="2"/>
    </font>
    <font>
      <i/>
      <sz val="14"/>
      <name val="Lucida Handwriting"/>
      <family val="4"/>
    </font>
    <font>
      <sz val="7.5"/>
      <name val="Times New Roman"/>
      <family val="1"/>
    </font>
    <font>
      <sz val="10"/>
      <name val="Arial"/>
      <family val="2"/>
    </font>
    <font>
      <b/>
      <sz val="16"/>
      <name val="Aptos Display"/>
      <family val="1"/>
    </font>
    <font>
      <sz val="11"/>
      <name val="Aptos Display"/>
      <family val="1"/>
    </font>
    <font>
      <sz val="11"/>
      <color rgb="FF000000"/>
      <name val="Aptos Display"/>
      <family val="2"/>
    </font>
    <font>
      <u/>
      <sz val="11"/>
      <color rgb="FF000000"/>
      <name val="Aptos Display"/>
      <family val="2"/>
    </font>
    <font>
      <sz val="11"/>
      <name val="Aptos Display"/>
      <family val="2"/>
    </font>
    <font>
      <b/>
      <sz val="11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sz val="11"/>
      <name val="Aptos Narrow"/>
      <family val="2"/>
    </font>
    <font>
      <sz val="12"/>
      <name val="Calibri"/>
      <family val="2"/>
    </font>
    <font>
      <sz val="11"/>
      <color rgb="FF000000"/>
      <name val="Aptos Narrow"/>
      <family val="2"/>
    </font>
    <font>
      <sz val="12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b/>
      <sz val="12"/>
      <name val="Aptos Narrow"/>
      <family val="2"/>
    </font>
    <font>
      <sz val="11"/>
      <color rgb="FF131318"/>
      <name val="Calibri"/>
      <family val="2"/>
    </font>
    <font>
      <b/>
      <i/>
      <sz val="11"/>
      <name val="Aptos Narrow"/>
      <family val="2"/>
    </font>
    <font>
      <b/>
      <sz val="11"/>
      <color rgb="FFFF0000"/>
      <name val="Aptos Narrow"/>
      <family val="2"/>
    </font>
    <font>
      <b/>
      <i/>
      <sz val="11"/>
      <color rgb="FFFF0000"/>
      <name val="Aptos Narrow"/>
      <family val="2"/>
    </font>
    <font>
      <b/>
      <sz val="11"/>
      <name val="Aptos Display"/>
      <family val="1"/>
    </font>
    <font>
      <b/>
      <i/>
      <sz val="11"/>
      <color rgb="FFFF0000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Display"/>
      <family val="2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name val="Aptos Narrow"/>
      <family val="2"/>
      <scheme val="minor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hair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59">
    <xf numFmtId="0" fontId="0" fillId="0" borderId="0" xfId="0"/>
    <xf numFmtId="0" fontId="5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7" fillId="0" borderId="0" xfId="2" applyFont="1" applyAlignment="1">
      <alignment vertical="center"/>
    </xf>
    <xf numFmtId="0" fontId="3" fillId="0" borderId="0" xfId="2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3" fillId="2" borderId="0" xfId="2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6" fillId="2" borderId="1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center" vertical="center" wrapText="1"/>
    </xf>
    <xf numFmtId="166" fontId="10" fillId="2" borderId="0" xfId="2" applyNumberFormat="1" applyFont="1" applyFill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3" fillId="2" borderId="0" xfId="2" applyFill="1" applyAlignment="1">
      <alignment vertical="center"/>
    </xf>
    <xf numFmtId="9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0" fillId="2" borderId="0" xfId="2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3" fillId="2" borderId="0" xfId="2" applyFill="1" applyAlignment="1">
      <alignment vertical="center" wrapText="1"/>
    </xf>
    <xf numFmtId="165" fontId="3" fillId="2" borderId="0" xfId="1" applyFont="1" applyFill="1" applyAlignment="1">
      <alignment vertical="center"/>
    </xf>
    <xf numFmtId="0" fontId="3" fillId="0" borderId="0" xfId="2" applyAlignment="1">
      <alignment vertical="center" wrapText="1"/>
    </xf>
    <xf numFmtId="165" fontId="3" fillId="0" borderId="0" xfId="1" applyFont="1" applyAlignment="1">
      <alignment vertical="center"/>
    </xf>
    <xf numFmtId="0" fontId="3" fillId="2" borderId="0" xfId="2" applyFill="1" applyAlignment="1">
      <alignment vertical="top"/>
    </xf>
    <xf numFmtId="0" fontId="13" fillId="0" borderId="0" xfId="0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13" fillId="0" borderId="0" xfId="0" applyFont="1" applyAlignment="1">
      <alignment wrapText="1"/>
    </xf>
    <xf numFmtId="0" fontId="22" fillId="3" borderId="1" xfId="0" applyFont="1" applyFill="1" applyBorder="1" applyAlignment="1">
      <alignment wrapText="1"/>
    </xf>
    <xf numFmtId="0" fontId="22" fillId="3" borderId="1" xfId="0" applyFont="1" applyFill="1" applyBorder="1"/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/>
    <xf numFmtId="0" fontId="30" fillId="3" borderId="0" xfId="0" applyFont="1" applyFill="1"/>
    <xf numFmtId="0" fontId="32" fillId="3" borderId="0" xfId="0" applyFont="1" applyFill="1"/>
    <xf numFmtId="0" fontId="32" fillId="3" borderId="0" xfId="0" applyFont="1" applyFill="1" applyAlignment="1">
      <alignment wrapText="1"/>
    </xf>
    <xf numFmtId="0" fontId="30" fillId="3" borderId="0" xfId="0" applyFont="1" applyFill="1" applyAlignment="1">
      <alignment wrapText="1"/>
    </xf>
    <xf numFmtId="0" fontId="30" fillId="3" borderId="22" xfId="0" applyFont="1" applyFill="1" applyBorder="1" applyAlignment="1">
      <alignment wrapText="1"/>
    </xf>
    <xf numFmtId="0" fontId="15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4" fontId="28" fillId="3" borderId="15" xfId="0" applyNumberFormat="1" applyFont="1" applyFill="1" applyBorder="1" applyAlignment="1">
      <alignment wrapText="1"/>
    </xf>
    <xf numFmtId="0" fontId="30" fillId="3" borderId="25" xfId="0" applyFont="1" applyFill="1" applyBorder="1"/>
    <xf numFmtId="0" fontId="30" fillId="3" borderId="25" xfId="0" applyFont="1" applyFill="1" applyBorder="1" applyAlignment="1">
      <alignment wrapText="1"/>
    </xf>
    <xf numFmtId="0" fontId="30" fillId="3" borderId="4" xfId="0" applyFont="1" applyFill="1" applyBorder="1" applyAlignment="1">
      <alignment wrapText="1"/>
    </xf>
    <xf numFmtId="0" fontId="27" fillId="3" borderId="4" xfId="0" applyFont="1" applyFill="1" applyBorder="1"/>
    <xf numFmtId="0" fontId="18" fillId="3" borderId="0" xfId="0" applyFont="1" applyFill="1" applyAlignment="1">
      <alignment horizontal="center" vertical="center"/>
    </xf>
    <xf numFmtId="15" fontId="18" fillId="3" borderId="1" xfId="0" applyNumberFormat="1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/>
    </xf>
    <xf numFmtId="0" fontId="34" fillId="3" borderId="3" xfId="0" applyFont="1" applyFill="1" applyBorder="1"/>
    <xf numFmtId="0" fontId="22" fillId="3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4" fontId="28" fillId="3" borderId="1" xfId="0" applyNumberFormat="1" applyFont="1" applyFill="1" applyBorder="1" applyAlignment="1">
      <alignment wrapText="1"/>
    </xf>
    <xf numFmtId="0" fontId="21" fillId="3" borderId="14" xfId="0" applyFont="1" applyFill="1" applyBorder="1" applyAlignment="1">
      <alignment horizontal="center" vertical="center"/>
    </xf>
    <xf numFmtId="4" fontId="16" fillId="3" borderId="0" xfId="0" applyNumberFormat="1" applyFont="1" applyFill="1" applyAlignment="1">
      <alignment horizontal="left" vertical="top" wrapText="1"/>
    </xf>
    <xf numFmtId="0" fontId="16" fillId="3" borderId="0" xfId="0" applyFont="1" applyFill="1" applyAlignment="1">
      <alignment vertical="center" wrapText="1"/>
    </xf>
    <xf numFmtId="0" fontId="30" fillId="3" borderId="22" xfId="0" applyFont="1" applyFill="1" applyBorder="1"/>
    <xf numFmtId="0" fontId="21" fillId="3" borderId="5" xfId="0" applyFont="1" applyFill="1" applyBorder="1" applyAlignment="1">
      <alignment horizontal="center" vertical="center" wrapText="1"/>
    </xf>
    <xf numFmtId="9" fontId="28" fillId="3" borderId="1" xfId="3" applyFont="1" applyFill="1" applyBorder="1" applyAlignment="1">
      <alignment wrapText="1"/>
    </xf>
    <xf numFmtId="0" fontId="28" fillId="3" borderId="14" xfId="0" applyFont="1" applyFill="1" applyBorder="1"/>
    <xf numFmtId="0" fontId="28" fillId="3" borderId="15" xfId="0" applyFont="1" applyFill="1" applyBorder="1" applyAlignment="1">
      <alignment vertical="center" wrapText="1"/>
    </xf>
    <xf numFmtId="0" fontId="28" fillId="3" borderId="26" xfId="0" applyFont="1" applyFill="1" applyBorder="1"/>
    <xf numFmtId="0" fontId="26" fillId="3" borderId="29" xfId="0" applyFont="1" applyFill="1" applyBorder="1"/>
    <xf numFmtId="0" fontId="26" fillId="3" borderId="28" xfId="0" applyFont="1" applyFill="1" applyBorder="1"/>
    <xf numFmtId="166" fontId="38" fillId="2" borderId="0" xfId="2" applyNumberFormat="1" applyFont="1" applyFill="1" applyAlignment="1">
      <alignment horizontal="center" vertical="center"/>
    </xf>
    <xf numFmtId="0" fontId="38" fillId="2" borderId="0" xfId="2" applyFont="1" applyFill="1" applyAlignment="1">
      <alignment horizontal="center" vertical="center"/>
    </xf>
    <xf numFmtId="0" fontId="39" fillId="2" borderId="4" xfId="4" applyFont="1" applyFill="1" applyBorder="1" applyAlignment="1">
      <alignment horizontal="center" vertical="center"/>
    </xf>
    <xf numFmtId="0" fontId="38" fillId="2" borderId="0" xfId="2" applyFont="1" applyFill="1" applyAlignment="1">
      <alignment vertical="center"/>
    </xf>
    <xf numFmtId="165" fontId="38" fillId="2" borderId="0" xfId="1" applyFont="1" applyFill="1" applyAlignment="1">
      <alignment vertical="center"/>
    </xf>
    <xf numFmtId="0" fontId="38" fillId="2" borderId="4" xfId="2" applyFont="1" applyFill="1" applyBorder="1" applyAlignment="1">
      <alignment horizontal="center" vertical="center"/>
    </xf>
    <xf numFmtId="0" fontId="40" fillId="2" borderId="0" xfId="2" applyFont="1" applyFill="1" applyAlignment="1">
      <alignment horizontal="center" vertical="center"/>
    </xf>
    <xf numFmtId="0" fontId="38" fillId="2" borderId="0" xfId="2" applyFont="1" applyFill="1" applyAlignment="1">
      <alignment vertical="center" wrapText="1"/>
    </xf>
    <xf numFmtId="0" fontId="40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164" fontId="3" fillId="2" borderId="0" xfId="2" applyNumberFormat="1" applyFill="1" applyAlignment="1">
      <alignment vertical="center"/>
    </xf>
    <xf numFmtId="0" fontId="21" fillId="3" borderId="30" xfId="0" applyFont="1" applyFill="1" applyBorder="1" applyAlignment="1">
      <alignment horizontal="center" vertical="center"/>
    </xf>
    <xf numFmtId="4" fontId="28" fillId="3" borderId="5" xfId="0" applyNumberFormat="1" applyFont="1" applyFill="1" applyBorder="1" applyAlignment="1">
      <alignment wrapText="1"/>
    </xf>
    <xf numFmtId="9" fontId="28" fillId="3" borderId="5" xfId="3" applyFont="1" applyFill="1" applyBorder="1" applyAlignment="1">
      <alignment wrapText="1"/>
    </xf>
    <xf numFmtId="0" fontId="23" fillId="3" borderId="1" xfId="0" applyFont="1" applyFill="1" applyBorder="1" applyAlignment="1">
      <alignment horizontal="center" vertical="center" wrapText="1"/>
    </xf>
    <xf numFmtId="165" fontId="25" fillId="3" borderId="26" xfId="1" applyFont="1" applyFill="1" applyBorder="1" applyAlignment="1">
      <alignment vertical="center" wrapText="1"/>
    </xf>
    <xf numFmtId="165" fontId="25" fillId="3" borderId="15" xfId="1" applyFont="1" applyFill="1" applyBorder="1" applyAlignment="1">
      <alignment vertical="center" wrapText="1"/>
    </xf>
    <xf numFmtId="165" fontId="25" fillId="3" borderId="5" xfId="1" applyFont="1" applyFill="1" applyBorder="1" applyAlignment="1">
      <alignment vertical="center" wrapText="1"/>
    </xf>
    <xf numFmtId="165" fontId="25" fillId="3" borderId="29" xfId="1" applyFont="1" applyFill="1" applyBorder="1" applyAlignment="1">
      <alignment vertical="center" wrapText="1"/>
    </xf>
    <xf numFmtId="165" fontId="25" fillId="3" borderId="9" xfId="1" applyFont="1" applyFill="1" applyBorder="1" applyAlignment="1">
      <alignment vertical="center" wrapText="1"/>
    </xf>
    <xf numFmtId="0" fontId="24" fillId="3" borderId="6" xfId="0" applyFont="1" applyFill="1" applyBorder="1" applyAlignment="1">
      <alignment vertical="center" wrapText="1"/>
    </xf>
    <xf numFmtId="0" fontId="22" fillId="3" borderId="15" xfId="0" applyFont="1" applyFill="1" applyBorder="1" applyAlignment="1">
      <alignment vertical="center" wrapText="1"/>
    </xf>
    <xf numFmtId="165" fontId="25" fillId="3" borderId="7" xfId="1" applyFont="1" applyFill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22" fillId="3" borderId="28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vertical="center" wrapText="1"/>
    </xf>
    <xf numFmtId="0" fontId="22" fillId="3" borderId="16" xfId="0" applyFont="1" applyFill="1" applyBorder="1" applyAlignment="1">
      <alignment vertical="center" wrapText="1"/>
    </xf>
    <xf numFmtId="165" fontId="25" fillId="3" borderId="17" xfId="1" applyFont="1" applyFill="1" applyBorder="1" applyAlignment="1">
      <alignment vertical="center" wrapText="1"/>
    </xf>
    <xf numFmtId="165" fontId="25" fillId="3" borderId="16" xfId="1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 wrapText="1"/>
    </xf>
    <xf numFmtId="165" fontId="25" fillId="3" borderId="1" xfId="1" applyFont="1" applyFill="1" applyBorder="1" applyAlignment="1">
      <alignment vertical="center" wrapText="1"/>
    </xf>
    <xf numFmtId="4" fontId="28" fillId="3" borderId="15" xfId="0" applyNumberFormat="1" applyFont="1" applyFill="1" applyBorder="1" applyAlignment="1">
      <alignment horizontal="right" wrapText="1"/>
    </xf>
    <xf numFmtId="9" fontId="28" fillId="3" borderId="15" xfId="0" applyNumberFormat="1" applyFont="1" applyFill="1" applyBorder="1" applyAlignment="1">
      <alignment horizontal="right" wrapText="1"/>
    </xf>
    <xf numFmtId="0" fontId="22" fillId="3" borderId="29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9" fillId="3" borderId="29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27" xfId="0" applyFont="1" applyFill="1" applyBorder="1" applyAlignment="1">
      <alignment horizontal="center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top"/>
    </xf>
    <xf numFmtId="0" fontId="26" fillId="3" borderId="4" xfId="0" applyFont="1" applyFill="1" applyBorder="1" applyAlignment="1">
      <alignment horizontal="left" vertical="top"/>
    </xf>
    <xf numFmtId="0" fontId="13" fillId="0" borderId="0" xfId="0" applyFont="1" applyAlignment="1">
      <alignment wrapText="1"/>
    </xf>
    <xf numFmtId="0" fontId="35" fillId="2" borderId="7" xfId="0" applyFont="1" applyFill="1" applyBorder="1" applyAlignment="1">
      <alignment horizontal="left" vertical="top" wrapText="1"/>
    </xf>
    <xf numFmtId="0" fontId="35" fillId="2" borderId="1" xfId="0" applyFont="1" applyFill="1" applyBorder="1" applyAlignment="1">
      <alignment horizontal="left" vertical="top" wrapText="1"/>
    </xf>
    <xf numFmtId="0" fontId="35" fillId="2" borderId="5" xfId="0" applyFont="1" applyFill="1" applyBorder="1" applyAlignment="1">
      <alignment horizontal="left" vertical="top" wrapText="1"/>
    </xf>
    <xf numFmtId="0" fontId="32" fillId="3" borderId="1" xfId="0" applyFont="1" applyFill="1" applyBorder="1" applyAlignment="1">
      <alignment wrapText="1"/>
    </xf>
    <xf numFmtId="0" fontId="32" fillId="3" borderId="24" xfId="0" applyFont="1" applyFill="1" applyBorder="1" applyAlignment="1">
      <alignment wrapText="1"/>
    </xf>
    <xf numFmtId="0" fontId="18" fillId="3" borderId="1" xfId="0" applyFont="1" applyFill="1" applyBorder="1" applyAlignment="1">
      <alignment wrapText="1"/>
    </xf>
    <xf numFmtId="0" fontId="18" fillId="3" borderId="24" xfId="0" applyFont="1" applyFill="1" applyBorder="1" applyAlignment="1">
      <alignment wrapText="1"/>
    </xf>
    <xf numFmtId="0" fontId="12" fillId="0" borderId="0" xfId="0" applyFont="1" applyAlignment="1">
      <alignment horizontal="left" vertical="center" wrapText="1"/>
    </xf>
    <xf numFmtId="0" fontId="14" fillId="3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wrapText="1"/>
    </xf>
    <xf numFmtId="0" fontId="19" fillId="3" borderId="6" xfId="0" applyFont="1" applyFill="1" applyBorder="1" applyAlignment="1">
      <alignment horizontal="center" wrapText="1"/>
    </xf>
    <xf numFmtId="0" fontId="19" fillId="3" borderId="10" xfId="0" applyFont="1" applyFill="1" applyBorder="1" applyAlignment="1">
      <alignment horizontal="center" wrapText="1"/>
    </xf>
    <xf numFmtId="0" fontId="19" fillId="3" borderId="7" xfId="0" applyFont="1" applyFill="1" applyBorder="1" applyAlignment="1">
      <alignment horizontal="center" wrapText="1"/>
    </xf>
    <xf numFmtId="0" fontId="19" fillId="3" borderId="3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wrapText="1"/>
    </xf>
    <xf numFmtId="0" fontId="19" fillId="3" borderId="23" xfId="0" applyFont="1" applyFill="1" applyBorder="1" applyAlignment="1">
      <alignment horizont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2" xr:uid="{7E44D46B-C825-4621-B1B9-D9A82142AFCA}"/>
    <cellStyle name="Percent" xfId="3" builtinId="5"/>
  </cellStyles>
  <dxfs count="4"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6479-2172-4703-9961-2C875D7B5F89}">
  <sheetPr>
    <pageSetUpPr fitToPage="1"/>
  </sheetPr>
  <dimension ref="A1:W44"/>
  <sheetViews>
    <sheetView tabSelected="1" view="pageBreakPreview" zoomScale="70" zoomScaleNormal="55" zoomScaleSheetLayoutView="70" workbookViewId="0">
      <selection activeCell="Q17" sqref="Q17"/>
    </sheetView>
  </sheetViews>
  <sheetFormatPr defaultColWidth="9.21875" defaultRowHeight="13.2"/>
  <cols>
    <col min="1" max="1" width="5.5546875" style="2" customWidth="1"/>
    <col min="2" max="2" width="8.5546875" style="2" customWidth="1"/>
    <col min="3" max="3" width="28.5546875" style="26" customWidth="1"/>
    <col min="4" max="5" width="24.44140625" style="2" customWidth="1"/>
    <col min="6" max="6" width="6.5546875" style="2" customWidth="1"/>
    <col min="7" max="7" width="5.77734375" style="2" customWidth="1"/>
    <col min="8" max="11" width="18.5546875" style="2" customWidth="1"/>
    <col min="12" max="13" width="18.5546875" style="27" customWidth="1"/>
    <col min="14" max="14" width="15.21875" style="2" customWidth="1"/>
    <col min="15" max="21" width="12.21875" style="2" customWidth="1"/>
    <col min="22" max="16384" width="9.21875" style="2"/>
  </cols>
  <sheetData>
    <row r="1" spans="1:23" ht="21">
      <c r="A1" s="29"/>
      <c r="B1" s="135" t="s">
        <v>47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8"/>
    </row>
    <row r="2" spans="1:23" ht="15.75" customHeight="1">
      <c r="A2" s="29"/>
      <c r="B2" s="111" t="s">
        <v>42</v>
      </c>
      <c r="C2" s="111"/>
      <c r="D2" s="111"/>
      <c r="E2" s="111"/>
      <c r="F2" s="111"/>
      <c r="G2" s="111"/>
      <c r="H2" s="111"/>
      <c r="I2" s="43" t="s">
        <v>36</v>
      </c>
      <c r="J2" s="30" t="s">
        <v>36</v>
      </c>
      <c r="K2" s="43" t="s">
        <v>36</v>
      </c>
      <c r="L2" s="30" t="s">
        <v>36</v>
      </c>
      <c r="M2" s="30" t="s">
        <v>36</v>
      </c>
      <c r="N2" s="18"/>
    </row>
    <row r="3" spans="1:23" ht="15.45" customHeight="1">
      <c r="A3" s="29"/>
      <c r="B3" s="64" t="s">
        <v>29</v>
      </c>
      <c r="C3" s="136"/>
      <c r="D3" s="136"/>
      <c r="E3" s="136"/>
      <c r="F3" s="44" t="s">
        <v>36</v>
      </c>
      <c r="G3" s="44" t="s">
        <v>36</v>
      </c>
      <c r="H3" s="32" t="s">
        <v>36</v>
      </c>
      <c r="I3" s="44" t="s">
        <v>36</v>
      </c>
      <c r="J3" s="32" t="s">
        <v>36</v>
      </c>
      <c r="K3" s="44" t="s">
        <v>36</v>
      </c>
      <c r="L3" s="50" t="s">
        <v>0</v>
      </c>
      <c r="M3" s="51"/>
      <c r="N3" s="82"/>
    </row>
    <row r="4" spans="1:23" ht="18" customHeight="1">
      <c r="A4" s="29"/>
      <c r="B4" s="64" t="s">
        <v>35</v>
      </c>
      <c r="C4" s="63"/>
      <c r="D4" s="31" t="s">
        <v>36</v>
      </c>
      <c r="E4" s="31" t="s">
        <v>36</v>
      </c>
      <c r="F4" s="44" t="s">
        <v>36</v>
      </c>
      <c r="G4" s="44" t="s">
        <v>36</v>
      </c>
      <c r="H4" s="32" t="s">
        <v>36</v>
      </c>
      <c r="I4" s="44" t="s">
        <v>36</v>
      </c>
      <c r="J4" s="32" t="s">
        <v>36</v>
      </c>
      <c r="K4" s="44" t="s">
        <v>36</v>
      </c>
      <c r="L4" s="32" t="s">
        <v>36</v>
      </c>
      <c r="M4" s="32" t="s">
        <v>36</v>
      </c>
      <c r="N4" s="18"/>
      <c r="P4" s="1"/>
    </row>
    <row r="5" spans="1:23" ht="15.75" customHeight="1">
      <c r="A5" s="29"/>
      <c r="B5" s="137" t="s">
        <v>1</v>
      </c>
      <c r="C5" s="138"/>
      <c r="D5" s="138"/>
      <c r="E5" s="139"/>
      <c r="F5" s="146" t="s">
        <v>2</v>
      </c>
      <c r="G5" s="146" t="s">
        <v>3</v>
      </c>
      <c r="H5" s="151" t="s">
        <v>4</v>
      </c>
      <c r="I5" s="152"/>
      <c r="J5" s="152"/>
      <c r="K5" s="152"/>
      <c r="L5" s="152"/>
      <c r="M5" s="153"/>
      <c r="N5" s="18"/>
    </row>
    <row r="6" spans="1:23" ht="33" customHeight="1">
      <c r="A6" s="29"/>
      <c r="B6" s="140"/>
      <c r="C6" s="141"/>
      <c r="D6" s="141"/>
      <c r="E6" s="142"/>
      <c r="F6" s="147"/>
      <c r="G6" s="149"/>
      <c r="H6" s="154"/>
      <c r="I6" s="155"/>
      <c r="J6" s="158"/>
      <c r="K6" s="157"/>
      <c r="L6" s="156"/>
      <c r="M6" s="157"/>
      <c r="N6" s="18"/>
    </row>
    <row r="7" spans="1:23" ht="15.6">
      <c r="A7" s="29"/>
      <c r="B7" s="143"/>
      <c r="C7" s="144"/>
      <c r="D7" s="144"/>
      <c r="E7" s="145"/>
      <c r="F7" s="148"/>
      <c r="G7" s="150"/>
      <c r="H7" s="62" t="s">
        <v>37</v>
      </c>
      <c r="I7" s="52" t="s">
        <v>38</v>
      </c>
      <c r="J7" s="53" t="s">
        <v>37</v>
      </c>
      <c r="K7" s="66" t="s">
        <v>38</v>
      </c>
      <c r="L7" s="84" t="s">
        <v>37</v>
      </c>
      <c r="M7" s="66" t="s">
        <v>38</v>
      </c>
      <c r="N7" s="18"/>
    </row>
    <row r="8" spans="1:23" ht="19.8" customHeight="1">
      <c r="A8" s="96"/>
      <c r="B8" s="97">
        <v>1</v>
      </c>
      <c r="C8" s="118"/>
      <c r="D8" s="119"/>
      <c r="E8" s="120"/>
      <c r="F8" s="98"/>
      <c r="G8" s="99"/>
      <c r="H8" s="100"/>
      <c r="I8" s="101"/>
      <c r="J8" s="100"/>
      <c r="K8" s="92"/>
      <c r="L8" s="91"/>
      <c r="M8" s="92"/>
      <c r="N8" s="18"/>
      <c r="O8" s="134"/>
      <c r="P8" s="134"/>
      <c r="Q8" s="134"/>
      <c r="R8" s="134"/>
      <c r="S8" s="134"/>
      <c r="T8" s="134"/>
      <c r="U8" s="134"/>
      <c r="V8" s="134"/>
      <c r="W8" s="134"/>
    </row>
    <row r="9" spans="1:23" ht="19.8" customHeight="1">
      <c r="A9" s="33"/>
      <c r="B9" s="55">
        <v>2</v>
      </c>
      <c r="C9" s="121"/>
      <c r="D9" s="122"/>
      <c r="E9" s="123"/>
      <c r="F9" s="93"/>
      <c r="G9" s="94"/>
      <c r="H9" s="88"/>
      <c r="I9" s="89"/>
      <c r="J9" s="88"/>
      <c r="K9" s="90"/>
      <c r="L9" s="95"/>
      <c r="M9" s="90"/>
      <c r="N9" s="18"/>
      <c r="O9" s="21"/>
      <c r="P9" s="21"/>
      <c r="Q9" s="21"/>
      <c r="R9" s="21"/>
      <c r="S9" s="21"/>
      <c r="T9" s="21"/>
      <c r="U9" s="21"/>
      <c r="V9" s="21"/>
      <c r="W9" s="21"/>
    </row>
    <row r="10" spans="1:23" ht="19.8" customHeight="1">
      <c r="A10" s="33"/>
      <c r="B10" s="55">
        <v>3</v>
      </c>
      <c r="C10" s="87"/>
      <c r="D10" s="87"/>
      <c r="E10" s="87"/>
      <c r="F10" s="102"/>
      <c r="G10" s="103"/>
      <c r="H10" s="88"/>
      <c r="I10" s="89"/>
      <c r="J10" s="104"/>
      <c r="K10" s="90"/>
      <c r="L10" s="95"/>
      <c r="M10" s="90"/>
      <c r="N10" s="18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9.8" customHeight="1">
      <c r="A11" s="33"/>
      <c r="B11" s="55">
        <v>4</v>
      </c>
      <c r="C11" s="87"/>
      <c r="D11" s="87"/>
      <c r="E11" s="87"/>
      <c r="F11" s="102"/>
      <c r="G11" s="103"/>
      <c r="H11" s="88"/>
      <c r="I11" s="89"/>
      <c r="J11" s="104"/>
      <c r="K11" s="104"/>
      <c r="L11" s="95"/>
      <c r="M11" s="104"/>
      <c r="N11" s="18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9.8" customHeight="1">
      <c r="A12" s="33"/>
      <c r="B12" s="55">
        <v>5</v>
      </c>
      <c r="C12" s="87"/>
      <c r="D12" s="87"/>
      <c r="E12" s="87"/>
      <c r="F12" s="102"/>
      <c r="G12" s="103"/>
      <c r="H12" s="88"/>
      <c r="I12" s="89"/>
      <c r="J12" s="104"/>
      <c r="K12" s="104"/>
      <c r="L12" s="95"/>
      <c r="M12" s="104"/>
      <c r="N12" s="18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9.8" customHeight="1">
      <c r="A13" s="33"/>
      <c r="B13" s="55">
        <v>6</v>
      </c>
      <c r="C13" s="87"/>
      <c r="D13" s="87"/>
      <c r="E13" s="87"/>
      <c r="F13" s="102"/>
      <c r="G13" s="103"/>
      <c r="H13" s="88"/>
      <c r="I13" s="89"/>
      <c r="J13" s="104"/>
      <c r="K13" s="104"/>
      <c r="L13" s="95"/>
      <c r="M13" s="104"/>
      <c r="N13" s="18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6.2" customHeight="1">
      <c r="A14" s="29"/>
      <c r="B14" s="56" t="s">
        <v>20</v>
      </c>
      <c r="C14" s="34" t="s">
        <v>36</v>
      </c>
      <c r="D14" s="35" t="s">
        <v>36</v>
      </c>
      <c r="E14" s="12"/>
      <c r="F14" s="11"/>
      <c r="G14" s="11" t="s">
        <v>5</v>
      </c>
      <c r="H14" s="68"/>
      <c r="I14" s="45">
        <f>SUM(I8:I10)</f>
        <v>0</v>
      </c>
      <c r="J14" s="37"/>
      <c r="K14" s="45">
        <f>SUM(K8:K10)</f>
        <v>0</v>
      </c>
      <c r="L14" s="72"/>
      <c r="M14" s="45">
        <f>SUM(M8:M10)</f>
        <v>0</v>
      </c>
      <c r="N14" s="83"/>
      <c r="O14" s="134"/>
      <c r="P14" s="134"/>
      <c r="Q14" s="134"/>
      <c r="R14" s="134"/>
      <c r="S14" s="134"/>
      <c r="T14" s="134"/>
      <c r="U14" s="134"/>
      <c r="V14" s="134"/>
      <c r="W14" s="134"/>
    </row>
    <row r="15" spans="1:23" ht="16.5" customHeight="1">
      <c r="A15" s="29"/>
      <c r="B15" s="56" t="s">
        <v>21</v>
      </c>
      <c r="C15" s="34" t="s">
        <v>36</v>
      </c>
      <c r="D15" s="35" t="s">
        <v>36</v>
      </c>
      <c r="E15" s="6"/>
      <c r="F15" s="7" t="s">
        <v>6</v>
      </c>
      <c r="G15" s="19">
        <v>0.08</v>
      </c>
      <c r="H15" s="68"/>
      <c r="I15" s="69">
        <f>I14*0.08</f>
        <v>0</v>
      </c>
      <c r="J15" s="37"/>
      <c r="K15" s="69">
        <f>K14*0.08</f>
        <v>0</v>
      </c>
      <c r="L15" s="72"/>
      <c r="M15" s="69">
        <f>M14*0.08</f>
        <v>0</v>
      </c>
      <c r="N15" s="83"/>
      <c r="P15" s="3"/>
    </row>
    <row r="16" spans="1:23" ht="16.5" customHeight="1">
      <c r="A16" s="29"/>
      <c r="B16" s="56" t="s">
        <v>22</v>
      </c>
      <c r="C16" s="34" t="s">
        <v>36</v>
      </c>
      <c r="D16" s="35" t="s">
        <v>36</v>
      </c>
      <c r="E16" s="6"/>
      <c r="F16" s="7"/>
      <c r="G16" s="7" t="s">
        <v>7</v>
      </c>
      <c r="H16" s="68"/>
      <c r="I16" s="45">
        <f>I14+I15</f>
        <v>0</v>
      </c>
      <c r="J16" s="37"/>
      <c r="K16" s="45">
        <f>K14+K15</f>
        <v>0</v>
      </c>
      <c r="L16" s="72"/>
      <c r="M16" s="45">
        <f>M14+M15</f>
        <v>0</v>
      </c>
      <c r="N16" s="83"/>
      <c r="P16" s="3"/>
    </row>
    <row r="17" spans="1:16" ht="16.95" customHeight="1">
      <c r="A17" s="29"/>
      <c r="B17" s="56" t="s">
        <v>10</v>
      </c>
      <c r="C17" s="34" t="s">
        <v>36</v>
      </c>
      <c r="D17" s="35" t="s">
        <v>36</v>
      </c>
      <c r="E17" s="12"/>
      <c r="F17" s="20"/>
      <c r="G17" s="7" t="s">
        <v>25</v>
      </c>
      <c r="H17" s="70"/>
      <c r="I17" s="105" t="s">
        <v>50</v>
      </c>
      <c r="J17" s="37"/>
      <c r="K17" s="61"/>
      <c r="L17" s="71"/>
      <c r="M17" s="85"/>
      <c r="N17" s="83"/>
      <c r="P17" s="3"/>
    </row>
    <row r="18" spans="1:16" ht="16.95" customHeight="1">
      <c r="A18" s="29"/>
      <c r="B18" s="56" t="s">
        <v>12</v>
      </c>
      <c r="C18" s="34" t="s">
        <v>36</v>
      </c>
      <c r="D18" s="35" t="s">
        <v>36</v>
      </c>
      <c r="E18" s="12"/>
      <c r="F18" s="20"/>
      <c r="G18" s="7" t="s">
        <v>26</v>
      </c>
      <c r="H18" s="70"/>
      <c r="I18" s="106" t="s">
        <v>50</v>
      </c>
      <c r="J18" s="37"/>
      <c r="K18" s="67"/>
      <c r="L18" s="71"/>
      <c r="M18" s="86"/>
      <c r="N18" s="83"/>
      <c r="P18" s="3"/>
    </row>
    <row r="19" spans="1:16" ht="14.4">
      <c r="A19" s="29"/>
      <c r="B19" s="56" t="s">
        <v>8</v>
      </c>
      <c r="C19" s="36" t="s">
        <v>24</v>
      </c>
      <c r="D19" s="37" t="s">
        <v>36</v>
      </c>
      <c r="E19" s="37" t="s">
        <v>36</v>
      </c>
      <c r="F19" s="36" t="s">
        <v>36</v>
      </c>
      <c r="G19" s="34" t="s">
        <v>36</v>
      </c>
      <c r="H19" s="112"/>
      <c r="I19" s="113"/>
      <c r="J19" s="114"/>
      <c r="K19" s="114"/>
      <c r="L19" s="107"/>
      <c r="M19" s="108"/>
      <c r="N19" s="18"/>
      <c r="P19" s="3"/>
    </row>
    <row r="20" spans="1:16" ht="45.6" customHeight="1">
      <c r="A20" s="29"/>
      <c r="B20" s="56" t="s">
        <v>9</v>
      </c>
      <c r="C20" s="36" t="s">
        <v>23</v>
      </c>
      <c r="D20" s="37" t="s">
        <v>36</v>
      </c>
      <c r="E20" s="37" t="s">
        <v>36</v>
      </c>
      <c r="F20" s="36" t="s">
        <v>36</v>
      </c>
      <c r="G20" s="34" t="s">
        <v>36</v>
      </c>
      <c r="H20" s="112"/>
      <c r="I20" s="113"/>
      <c r="J20" s="114"/>
      <c r="K20" s="114"/>
      <c r="L20" s="107"/>
      <c r="M20" s="108"/>
      <c r="N20" s="18"/>
      <c r="P20" s="3"/>
    </row>
    <row r="21" spans="1:16" ht="31.95" customHeight="1">
      <c r="A21" s="29"/>
      <c r="B21" s="56" t="s">
        <v>9</v>
      </c>
      <c r="C21" s="36" t="s">
        <v>39</v>
      </c>
      <c r="D21" s="37" t="s">
        <v>36</v>
      </c>
      <c r="E21" s="37" t="s">
        <v>36</v>
      </c>
      <c r="F21" s="36" t="s">
        <v>36</v>
      </c>
      <c r="G21" s="34" t="s">
        <v>36</v>
      </c>
      <c r="H21" s="115"/>
      <c r="I21" s="116"/>
      <c r="J21" s="117"/>
      <c r="K21" s="117"/>
      <c r="L21" s="109"/>
      <c r="M21" s="110"/>
      <c r="N21" s="18"/>
      <c r="P21" s="3"/>
    </row>
    <row r="22" spans="1:16" ht="21" customHeight="1">
      <c r="A22" s="126"/>
      <c r="B22" s="57" t="s">
        <v>28</v>
      </c>
      <c r="C22" s="124" t="s">
        <v>11</v>
      </c>
      <c r="D22" s="125"/>
      <c r="E22" s="125"/>
      <c r="F22" s="125"/>
      <c r="G22" s="125"/>
      <c r="H22" s="46" t="s">
        <v>36</v>
      </c>
      <c r="I22" s="47" t="s">
        <v>36</v>
      </c>
      <c r="J22" s="49" t="s">
        <v>36</v>
      </c>
      <c r="K22" s="48" t="s">
        <v>36</v>
      </c>
      <c r="L22" s="38" t="s">
        <v>36</v>
      </c>
      <c r="M22" s="65" t="s">
        <v>36</v>
      </c>
      <c r="N22" s="18"/>
      <c r="P22" s="3"/>
    </row>
    <row r="23" spans="1:16" ht="409.05" customHeight="1">
      <c r="A23" s="126"/>
      <c r="B23" s="57" t="s">
        <v>36</v>
      </c>
      <c r="C23" s="127"/>
      <c r="D23" s="128"/>
      <c r="E23" s="128"/>
      <c r="F23" s="128"/>
      <c r="G23" s="128"/>
      <c r="H23" s="128"/>
      <c r="I23" s="128"/>
      <c r="J23" s="128"/>
      <c r="K23" s="128"/>
      <c r="L23" s="128"/>
      <c r="M23" s="129"/>
      <c r="N23" s="18"/>
    </row>
    <row r="24" spans="1:16" ht="14.4">
      <c r="A24" s="29"/>
      <c r="B24" s="58" t="s">
        <v>30</v>
      </c>
      <c r="C24" s="54" t="s">
        <v>13</v>
      </c>
      <c r="D24" s="39"/>
      <c r="E24" s="39" t="s">
        <v>36</v>
      </c>
      <c r="F24" s="40" t="s">
        <v>36</v>
      </c>
      <c r="G24" s="40" t="s">
        <v>36</v>
      </c>
      <c r="H24" s="40" t="s">
        <v>36</v>
      </c>
      <c r="I24" s="40" t="s">
        <v>36</v>
      </c>
      <c r="J24" s="40" t="s">
        <v>36</v>
      </c>
      <c r="K24" s="40" t="s">
        <v>36</v>
      </c>
      <c r="L24" s="41" t="s">
        <v>36</v>
      </c>
      <c r="M24" s="42" t="s">
        <v>36</v>
      </c>
      <c r="N24" s="18"/>
    </row>
    <row r="25" spans="1:16" ht="38.25" customHeight="1">
      <c r="A25" s="29"/>
      <c r="B25" s="59" t="s">
        <v>36</v>
      </c>
      <c r="C25" s="130" t="s">
        <v>36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1"/>
      <c r="N25" s="18"/>
    </row>
    <row r="26" spans="1:16" ht="14.4">
      <c r="A26" s="29"/>
      <c r="B26" s="57" t="s">
        <v>31</v>
      </c>
      <c r="C26" s="41" t="s">
        <v>32</v>
      </c>
      <c r="D26" s="38" t="s">
        <v>36</v>
      </c>
      <c r="E26" s="38" t="s">
        <v>36</v>
      </c>
      <c r="F26" s="41" t="s">
        <v>36</v>
      </c>
      <c r="G26" s="41" t="s">
        <v>36</v>
      </c>
      <c r="H26" s="41" t="s">
        <v>36</v>
      </c>
      <c r="I26" s="41" t="s">
        <v>36</v>
      </c>
      <c r="J26" s="41" t="s">
        <v>36</v>
      </c>
      <c r="K26" s="41" t="s">
        <v>36</v>
      </c>
      <c r="L26" s="41" t="s">
        <v>36</v>
      </c>
      <c r="M26" s="42" t="s">
        <v>36</v>
      </c>
      <c r="N26" s="18"/>
    </row>
    <row r="27" spans="1:16" ht="24.75" customHeight="1">
      <c r="A27" s="29"/>
      <c r="B27" s="60" t="s">
        <v>36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18"/>
    </row>
    <row r="28" spans="1:16" s="4" customFormat="1" ht="25.95" customHeight="1">
      <c r="A28" s="8"/>
      <c r="B28" s="8"/>
      <c r="C28" s="13" t="s">
        <v>14</v>
      </c>
      <c r="D28" s="13"/>
      <c r="E28" s="13" t="s">
        <v>15</v>
      </c>
      <c r="F28" s="22"/>
      <c r="G28" s="13"/>
      <c r="H28" s="13" t="s">
        <v>43</v>
      </c>
      <c r="I28" s="13"/>
      <c r="J28" s="13" t="s">
        <v>44</v>
      </c>
      <c r="K28" s="13"/>
      <c r="L28" s="13" t="s">
        <v>27</v>
      </c>
      <c r="M28" s="10" t="s">
        <v>16</v>
      </c>
      <c r="N28" s="18"/>
    </row>
    <row r="29" spans="1:16" s="4" customFormat="1" ht="17.399999999999999">
      <c r="A29" s="8"/>
      <c r="B29" s="8"/>
      <c r="C29" s="13"/>
      <c r="D29" s="13"/>
      <c r="E29" s="14"/>
      <c r="F29" s="15"/>
      <c r="G29" s="13"/>
      <c r="H29" s="14"/>
      <c r="I29" s="14"/>
      <c r="J29" s="14"/>
      <c r="K29" s="13"/>
      <c r="L29" s="13"/>
      <c r="M29" s="10"/>
      <c r="N29" s="18"/>
    </row>
    <row r="30" spans="1:16" s="4" customFormat="1" ht="17.399999999999999">
      <c r="A30" s="8"/>
      <c r="B30" s="8"/>
      <c r="C30" s="13"/>
      <c r="D30" s="13"/>
      <c r="E30" s="13"/>
      <c r="F30" s="15"/>
      <c r="G30" s="13"/>
      <c r="H30" s="13"/>
      <c r="I30" s="13"/>
      <c r="J30" s="13"/>
      <c r="K30" s="13"/>
      <c r="L30" s="13"/>
      <c r="M30" s="10"/>
      <c r="N30" s="18"/>
    </row>
    <row r="31" spans="1:16" s="4" customFormat="1" ht="21.75" customHeight="1">
      <c r="A31" s="8"/>
      <c r="B31" s="8"/>
      <c r="C31" s="17" t="s">
        <v>19</v>
      </c>
      <c r="D31" s="13"/>
      <c r="E31" s="16"/>
      <c r="F31" s="15"/>
      <c r="G31" s="13"/>
      <c r="H31" s="16"/>
      <c r="I31" s="13"/>
      <c r="J31" s="16"/>
      <c r="K31" s="13"/>
      <c r="L31" s="16"/>
      <c r="M31" s="10"/>
      <c r="N31" s="18"/>
    </row>
    <row r="32" spans="1:16" s="4" customFormat="1" ht="15.6">
      <c r="A32" s="8"/>
      <c r="B32" s="8"/>
      <c r="C32" s="78" t="s">
        <v>41</v>
      </c>
      <c r="D32" s="74"/>
      <c r="E32" s="75" t="s">
        <v>48</v>
      </c>
      <c r="F32" s="73"/>
      <c r="G32" s="74"/>
      <c r="H32" s="73" t="s">
        <v>40</v>
      </c>
      <c r="I32" s="74"/>
      <c r="J32" s="73" t="s">
        <v>33</v>
      </c>
      <c r="K32" s="73"/>
      <c r="L32" s="73" t="s">
        <v>45</v>
      </c>
      <c r="M32" s="79"/>
      <c r="N32" s="18"/>
    </row>
    <row r="33" spans="1:14" s="5" customFormat="1" ht="18" customHeight="1">
      <c r="A33" s="9"/>
      <c r="B33" s="9"/>
      <c r="C33" s="74" t="s">
        <v>17</v>
      </c>
      <c r="D33" s="74"/>
      <c r="E33" s="74" t="s">
        <v>49</v>
      </c>
      <c r="F33" s="74"/>
      <c r="G33" s="74"/>
      <c r="H33" s="73" t="s">
        <v>18</v>
      </c>
      <c r="I33" s="73"/>
      <c r="J33" s="74" t="s">
        <v>34</v>
      </c>
      <c r="K33" s="74"/>
      <c r="L33" s="74" t="s">
        <v>46</v>
      </c>
      <c r="M33" s="79"/>
      <c r="N33" s="18"/>
    </row>
    <row r="34" spans="1:14" ht="15">
      <c r="A34" s="18"/>
      <c r="B34" s="18"/>
      <c r="C34" s="80"/>
      <c r="D34" s="76"/>
      <c r="E34" s="74"/>
      <c r="F34" s="74"/>
      <c r="G34" s="74"/>
      <c r="H34" s="74"/>
      <c r="I34" s="74"/>
      <c r="J34" s="77"/>
      <c r="K34" s="76"/>
      <c r="L34" s="77"/>
      <c r="M34" s="81"/>
      <c r="N34" s="18"/>
    </row>
    <row r="35" spans="1:14" ht="17.399999999999999">
      <c r="A35" s="18"/>
      <c r="B35" s="18"/>
      <c r="C35" s="24"/>
      <c r="D35" s="18"/>
      <c r="E35" s="18"/>
      <c r="F35" s="18"/>
      <c r="G35" s="18"/>
      <c r="H35" s="18"/>
      <c r="I35" s="18"/>
      <c r="J35" s="13"/>
      <c r="K35" s="18"/>
      <c r="L35" s="25"/>
      <c r="M35" s="23"/>
      <c r="N35" s="18"/>
    </row>
    <row r="36" spans="1:14">
      <c r="N36" s="18"/>
    </row>
    <row r="37" spans="1:14">
      <c r="C37" s="28"/>
    </row>
    <row r="38" spans="1:14">
      <c r="C38" s="28"/>
      <c r="L38" s="2"/>
    </row>
    <row r="39" spans="1:14">
      <c r="C39" s="28"/>
      <c r="L39" s="2"/>
    </row>
    <row r="40" spans="1:14">
      <c r="C40" s="28"/>
      <c r="L40" s="2"/>
    </row>
    <row r="41" spans="1:14">
      <c r="C41" s="28"/>
    </row>
    <row r="42" spans="1:14">
      <c r="C42" s="28"/>
    </row>
    <row r="43" spans="1:14">
      <c r="C43" s="28"/>
    </row>
    <row r="44" spans="1:14">
      <c r="C44" s="28"/>
    </row>
  </sheetData>
  <mergeCells count="28">
    <mergeCell ref="O8:W8"/>
    <mergeCell ref="O14:W14"/>
    <mergeCell ref="B1:M1"/>
    <mergeCell ref="C3:E3"/>
    <mergeCell ref="B5:E7"/>
    <mergeCell ref="F5:F7"/>
    <mergeCell ref="G5:G7"/>
    <mergeCell ref="H5:M5"/>
    <mergeCell ref="H6:I6"/>
    <mergeCell ref="L6:M6"/>
    <mergeCell ref="J6:K6"/>
    <mergeCell ref="C22:G22"/>
    <mergeCell ref="A22:A23"/>
    <mergeCell ref="C23:M23"/>
    <mergeCell ref="C25:M25"/>
    <mergeCell ref="C27:M27"/>
    <mergeCell ref="L19:M19"/>
    <mergeCell ref="L20:M20"/>
    <mergeCell ref="L21:M21"/>
    <mergeCell ref="B2:H2"/>
    <mergeCell ref="H19:I19"/>
    <mergeCell ref="J19:K19"/>
    <mergeCell ref="H20:I20"/>
    <mergeCell ref="J20:K20"/>
    <mergeCell ref="H21:I21"/>
    <mergeCell ref="J21:K21"/>
    <mergeCell ref="C8:E8"/>
    <mergeCell ref="C9:E9"/>
  </mergeCells>
  <conditionalFormatting sqref="E14:F16 E17:E18">
    <cfRule type="expression" dxfId="3" priority="1">
      <formula>#REF!="cancelled"</formula>
    </cfRule>
    <cfRule type="expression" dxfId="2" priority="2">
      <formula>OR(#REF!="Material Received",#REF!="Job completed")</formula>
    </cfRule>
    <cfRule type="expression" dxfId="1" priority="3">
      <formula>#REF!="PO Done"</formula>
    </cfRule>
    <cfRule type="expression" dxfId="0" priority="4">
      <formula>#REF!="RO / PR Done"</formula>
    </cfRule>
  </conditionalFormatting>
  <printOptions horizontalCentered="1"/>
  <pageMargins left="0.19685039370078741" right="3.937007874015748E-2" top="0.15748031496062992" bottom="0.15748031496062992" header="0.11811023622047245" footer="0.11811023622047245"/>
  <pageSetup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656f95-af41-4770-8c4c-40f2ab2a9f4d">
      <Terms xmlns="http://schemas.microsoft.com/office/infopath/2007/PartnerControls"/>
    </lcf76f155ced4ddcb4097134ff3c332f>
    <TaxCatchAll xmlns="bb65e7c3-e26b-457e-979a-f0bdf4b686f7" xsi:nil="true"/>
    <DateandTime xmlns="71656f95-af41-4770-8c4c-40f2ab2a9f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CED9C53918F449F341C0471E40D48" ma:contentTypeVersion="19" ma:contentTypeDescription="Create a new document." ma:contentTypeScope="" ma:versionID="e131b66a29444f19405a36d79cd6bc23">
  <xsd:schema xmlns:xsd="http://www.w3.org/2001/XMLSchema" xmlns:xs="http://www.w3.org/2001/XMLSchema" xmlns:p="http://schemas.microsoft.com/office/2006/metadata/properties" xmlns:ns2="71656f95-af41-4770-8c4c-40f2ab2a9f4d" xmlns:ns3="bb65e7c3-e26b-457e-979a-f0bdf4b686f7" targetNamespace="http://schemas.microsoft.com/office/2006/metadata/properties" ma:root="true" ma:fieldsID="fd5d181d26f45a3c965d4872d012ae40" ns2:_="" ns3:_="">
    <xsd:import namespace="71656f95-af41-4770-8c4c-40f2ab2a9f4d"/>
    <xsd:import namespace="bb65e7c3-e26b-457e-979a-f0bdf4b686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and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6f95-af41-4770-8c4c-40f2ab2a9f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2f806e-380c-4a08-83a4-b1f8def96e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5e7c3-e26b-457e-979a-f0bdf4b686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ed4d17-53cd-47fd-9025-fb90c860d5ac}" ma:internalName="TaxCatchAll" ma:showField="CatchAllData" ma:web="bb65e7c3-e26b-457e-979a-f0bdf4b686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94CD6-A6E1-495A-B4D6-82EEE9A5BFE4}">
  <ds:schemaRefs>
    <ds:schemaRef ds:uri="bb65e7c3-e26b-457e-979a-f0bdf4b686f7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71656f95-af41-4770-8c4c-40f2ab2a9f4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9111247-A990-4B42-9A2F-A0B345315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56f95-af41-4770-8c4c-40f2ab2a9f4d"/>
    <ds:schemaRef ds:uri="bb65e7c3-e26b-457e-979a-f0bdf4b686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DBE0BC-02BA-41C1-A58E-2880BA9FC7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LEV-RO-IT-2025-0014</vt:lpstr>
      <vt:lpstr>'LEV-RO-IT-2025-0014'!Print_Area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Micole Sia Siew Ping</dc:creator>
  <cp:keywords/>
  <dc:description/>
  <cp:lastModifiedBy>Sylvester Chung Jin Wen</cp:lastModifiedBy>
  <cp:revision/>
  <cp:lastPrinted>2026-03-26T10:43:27Z</cp:lastPrinted>
  <dcterms:created xsi:type="dcterms:W3CDTF">2024-12-31T07:02:24Z</dcterms:created>
  <dcterms:modified xsi:type="dcterms:W3CDTF">2026-03-31T01:14:42Z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0x010100223CED9C53918F449F341C0471E40D48</vt:lpwstr>
  </property>
  <property fmtid="{D5CDD505-2E9C-101B-9397-08002B2CF9AE}" pid="3" name="MediaServiceImageTags">
    <vt:lpwstr/>
  </property>
</Properties>
</file>