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3585" windowWidth="29040" windowHeight="15720" tabRatio="449" firstSheet="0" activeTab="0" autoFilterDateGrouping="1"/>
  </bookViews>
  <sheets>
    <sheet name="LEV-RO-IT-2025-0014" sheetId="1" state="visible" r:id="rId1"/>
  </sheets>
  <definedNames>
    <definedName name="_xlnm.Print_Area" localSheetId="0">'LEV-RO-IT-2025-0014'!$A$1:$N$33</definedName>
  </definedNames>
  <calcPr calcId="191028" fullCalcOnLoad="1"/>
</workbook>
</file>

<file path=xl/styles.xml><?xml version="1.0" encoding="utf-8"?>
<styleSheet xmlns="http://schemas.openxmlformats.org/spreadsheetml/2006/main">
  <numFmts count="2">
    <numFmt numFmtId="164" formatCode="[$MYR]\ #,##0.00_);[Red]\([$MYR]\ #,##0.00\)"/>
    <numFmt numFmtId="165" formatCode="_(&quot;$&quot;* #,##0.00_);_(&quot;$&quot;* \(#,##0.00\);_(&quot;$&quot;* &quot;-&quot;??_);_(@_)"/>
  </numFmts>
  <fonts count="41">
    <font>
      <name val="Aptos Narrow"/>
      <family val="2"/>
      <color theme="1"/>
      <sz val="11"/>
      <scheme val="minor"/>
    </font>
    <font>
      <name val="Aptos Narrow"/>
      <family val="2"/>
      <color theme="1"/>
      <sz val="11"/>
      <scheme val="minor"/>
    </font>
    <font>
      <name val="Aptos Narrow"/>
      <family val="2"/>
      <b val="1"/>
      <color theme="1"/>
      <sz val="11"/>
      <scheme val="minor"/>
    </font>
    <font>
      <name val="Arial"/>
      <family val="2"/>
      <sz val="10"/>
    </font>
    <font>
      <name val="Aptos Display"/>
      <family val="1"/>
      <sz val="11"/>
      <scheme val="major"/>
    </font>
    <font>
      <name val="Arial"/>
      <family val="2"/>
      <b val="1"/>
      <sz val="10"/>
    </font>
    <font>
      <name val="Aptos Narrow"/>
      <family val="2"/>
      <sz val="11"/>
      <scheme val="minor"/>
    </font>
    <font>
      <name val="Arial"/>
      <family val="2"/>
      <color rgb="FFFF0000"/>
      <sz val="10"/>
    </font>
    <font>
      <name val="Arial"/>
      <family val="2"/>
      <sz val="8"/>
    </font>
    <font>
      <name val="Arial"/>
      <family val="2"/>
      <color theme="0"/>
      <sz val="10"/>
    </font>
    <font>
      <name val="Arial"/>
      <family val="2"/>
      <sz val="14"/>
    </font>
    <font>
      <name val="Lucida Handwriting"/>
      <family val="4"/>
      <i val="1"/>
      <sz val="14"/>
    </font>
    <font>
      <name val="Times New Roman"/>
      <family val="1"/>
      <sz val="7.5"/>
    </font>
    <font>
      <name val="Arial"/>
      <family val="2"/>
      <sz val="10"/>
    </font>
    <font>
      <name val="Aptos Display"/>
      <family val="1"/>
      <b val="1"/>
      <sz val="16"/>
    </font>
    <font>
      <name val="Aptos Display"/>
      <family val="1"/>
      <sz val="11"/>
    </font>
    <font>
      <name val="Aptos Display"/>
      <family val="2"/>
      <color rgb="FF000000"/>
      <sz val="11"/>
    </font>
    <font>
      <name val="Aptos Display"/>
      <family val="2"/>
      <color rgb="FF000000"/>
      <sz val="11"/>
      <u val="single"/>
    </font>
    <font>
      <name val="Aptos Display"/>
      <family val="2"/>
      <sz val="11"/>
    </font>
    <font>
      <name val="Aptos Display"/>
      <family val="2"/>
      <b val="1"/>
      <sz val="11"/>
    </font>
    <font>
      <name val="Aptos Display"/>
      <family val="2"/>
      <b val="1"/>
      <sz val="12"/>
    </font>
    <font>
      <name val="Aptos Display"/>
      <family val="2"/>
      <sz val="12"/>
    </font>
    <font>
      <name val="Aptos Narrow"/>
      <family val="2"/>
      <sz val="11"/>
    </font>
    <font>
      <name val="Calibri"/>
      <family val="2"/>
      <sz val="12"/>
    </font>
    <font>
      <name val="Aptos Narrow"/>
      <family val="2"/>
      <color rgb="FF000000"/>
      <sz val="11"/>
    </font>
    <font>
      <name val="Aptos Narrow"/>
      <family val="2"/>
      <sz val="12"/>
    </font>
    <font>
      <name val="Aptos Narrow"/>
      <family val="2"/>
      <b val="1"/>
      <sz val="11"/>
    </font>
    <font>
      <name val="Aptos Narrow"/>
      <family val="2"/>
      <b val="1"/>
      <color rgb="FF000000"/>
      <sz val="11"/>
    </font>
    <font>
      <name val="Aptos Narrow"/>
      <family val="2"/>
      <b val="1"/>
      <sz val="12"/>
    </font>
    <font>
      <name val="Calibri"/>
      <family val="2"/>
      <color rgb="FF131318"/>
      <sz val="11"/>
    </font>
    <font>
      <name val="Aptos Narrow"/>
      <family val="2"/>
      <b val="1"/>
      <i val="1"/>
      <sz val="11"/>
    </font>
    <font>
      <name val="Aptos Narrow"/>
      <family val="2"/>
      <b val="1"/>
      <color rgb="FFFF0000"/>
      <sz val="11"/>
    </font>
    <font>
      <name val="Aptos Narrow"/>
      <family val="2"/>
      <b val="1"/>
      <i val="1"/>
      <color rgb="FFFF0000"/>
      <sz val="11"/>
    </font>
    <font>
      <name val="Aptos Display"/>
      <family val="1"/>
      <b val="1"/>
      <sz val="11"/>
    </font>
    <font>
      <name val="Aptos Narrow"/>
      <family val="2"/>
      <b val="1"/>
      <i val="1"/>
      <color rgb="FFFF0000"/>
      <sz val="11"/>
    </font>
    <font>
      <name val="Aptos Narrow"/>
      <family val="2"/>
      <b val="1"/>
      <color theme="1"/>
      <sz val="12"/>
      <scheme val="minor"/>
    </font>
    <font>
      <name val="Aptos Display"/>
      <family val="2"/>
      <color rgb="FFFF0000"/>
      <sz val="11"/>
    </font>
    <font>
      <name val="Aptos Narrow"/>
      <family val="2"/>
      <color theme="10"/>
      <sz val="11"/>
      <u val="single"/>
      <scheme val="minor"/>
    </font>
    <font>
      <name val="Arial"/>
      <family val="2"/>
      <sz val="12"/>
    </font>
    <font>
      <name val="Aptos Narrow"/>
      <family val="2"/>
      <sz val="12"/>
      <scheme val="minor"/>
    </font>
    <font>
      <name val="Arial"/>
      <family val="2"/>
      <color theme="0"/>
      <sz val="12"/>
    </font>
  </fonts>
  <fills count="4">
    <fill>
      <patternFill/>
    </fill>
    <fill>
      <patternFill patternType="gray125"/>
    </fill>
    <fill>
      <patternFill patternType="solid">
        <fgColor theme="0"/>
        <bgColor indexed="64"/>
      </patternFill>
    </fill>
    <fill>
      <patternFill patternType="solid">
        <fgColor rgb="FFFFFFFF"/>
        <bgColor rgb="FF000000"/>
      </patternFill>
    </fill>
  </fills>
  <borders count="37">
    <border>
      <left/>
      <right/>
      <top/>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hair">
        <color indexed="64"/>
      </right>
      <top/>
      <bottom style="thin">
        <color indexed="64"/>
      </bottom>
      <diagonal/>
    </border>
    <border>
      <left style="thin">
        <color rgb="FFFF0000"/>
      </left>
      <right/>
      <top style="thin">
        <color rgb="FFFF0000"/>
      </top>
      <bottom/>
      <diagonal/>
    </border>
    <border>
      <left/>
      <right style="thin">
        <color rgb="FFFF0000"/>
      </right>
      <top style="thin">
        <color rgb="FFFF0000"/>
      </top>
      <bottom/>
      <diagonal/>
    </border>
    <border>
      <left style="thin">
        <color rgb="FFFF0000"/>
      </left>
      <right style="hair">
        <color indexed="64"/>
      </right>
      <top/>
      <bottom style="thin">
        <color indexed="64"/>
      </bottom>
      <diagonal/>
    </border>
    <border>
      <left/>
      <right style="thin">
        <color rgb="FFFF0000"/>
      </right>
      <top/>
      <bottom style="thin">
        <color indexed="64"/>
      </bottom>
      <diagonal/>
    </border>
    <border>
      <left/>
      <right style="thin">
        <color rgb="FFFF0000"/>
      </right>
      <top style="thin">
        <color indexed="64"/>
      </top>
      <bottom style="thin">
        <color indexed="64"/>
      </bottom>
      <diagonal/>
    </border>
    <border>
      <left style="thin">
        <color rgb="FFFF0000"/>
      </left>
      <right/>
      <top style="thin">
        <color indexed="64"/>
      </top>
      <bottom style="thin">
        <color indexed="64"/>
      </bottom>
      <diagonal/>
    </border>
    <border>
      <left style="thin">
        <color rgb="FFFF0000"/>
      </left>
      <right/>
      <top style="thin">
        <color indexed="64"/>
      </top>
      <bottom style="thin">
        <color rgb="FFFF0000"/>
      </bottom>
      <diagonal/>
    </border>
    <border>
      <left/>
      <right style="thin">
        <color rgb="FFFF0000"/>
      </right>
      <top style="thin">
        <color indexed="64"/>
      </top>
      <bottom style="thin">
        <color rgb="FFFF0000"/>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right style="thin">
        <color rgb="FF000000"/>
      </right>
      <top style="thin">
        <color indexed="64"/>
      </top>
      <bottom/>
      <diagonal/>
    </border>
    <border>
      <left/>
      <right style="thin">
        <color rgb="FF000000"/>
      </right>
      <top/>
      <bottom style="thin">
        <color indexed="64"/>
      </bottom>
      <diagonal/>
    </border>
    <border>
      <left/>
      <right/>
      <top style="thin">
        <color rgb="FFFF0000"/>
      </top>
      <bottom/>
      <diagonal/>
    </border>
    <border>
      <left style="thin">
        <color rgb="FFFF0000"/>
      </left>
      <right/>
      <top/>
      <bottom style="thin">
        <color indexed="64"/>
      </bottom>
      <diagonal/>
    </border>
    <border>
      <left/>
      <right/>
      <top style="thin">
        <color indexed="64"/>
      </top>
      <bottom style="thin">
        <color rgb="FFFF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bottom style="thin">
        <color indexed="64"/>
      </bottom>
      <diagonal/>
    </border>
    <border>
      <left style="thin">
        <color rgb="FFFF0000"/>
      </left>
      <right style="thin">
        <color rgb="FFFF0000"/>
      </right>
      <top style="thin">
        <color indexed="64"/>
      </top>
      <bottom style="thin">
        <color indexed="64"/>
      </bottom>
      <diagonal/>
    </border>
    <border>
      <left/>
      <right style="thin">
        <color rgb="FFFF0000"/>
      </right>
      <top style="thin">
        <color indexed="64"/>
      </top>
      <bottom/>
      <diagonal/>
    </border>
    <border>
      <left style="thin">
        <color rgb="FFFF0000"/>
      </left>
      <right style="thin">
        <color rgb="FFFF0000"/>
      </right>
      <top style="thin">
        <color indexed="64"/>
      </top>
      <bottom style="thin">
        <color rgb="FFFF0000"/>
      </bottom>
      <diagonal/>
    </border>
    <border>
      <left/>
      <right style="thin">
        <color rgb="FF000000"/>
      </right>
      <top/>
      <bottom/>
      <diagonal/>
    </border>
    <border>
      <left style="thin">
        <color indexed="64"/>
      </left>
      <right style="thin">
        <color rgb="FF000000"/>
      </right>
      <top style="thin">
        <color indexed="64"/>
      </top>
      <bottom/>
      <diagonal/>
    </border>
    <border>
      <left style="thin">
        <color rgb="FFFF0000"/>
      </left>
      <right style="thin">
        <color rgb="FFFF0000"/>
      </right>
      <top style="thin">
        <color rgb="FFFF0000"/>
      </top>
      <bottom/>
      <diagonal/>
    </border>
  </borders>
  <cellStyleXfs count="5">
    <xf numFmtId="0" fontId="1" fillId="0" borderId="0"/>
    <xf numFmtId="43" fontId="1" fillId="0" borderId="0"/>
    <xf numFmtId="0" fontId="13" fillId="0" borderId="0"/>
    <xf numFmtId="9" fontId="1" fillId="0" borderId="0"/>
    <xf numFmtId="0" fontId="37" fillId="0" borderId="0"/>
  </cellStyleXfs>
  <cellXfs count="202">
    <xf numFmtId="0" fontId="0" fillId="0" borderId="0" pivotButton="0" quotePrefix="0" xfId="0"/>
    <xf numFmtId="0" fontId="5" fillId="0" borderId="0" applyAlignment="1" pivotButton="0" quotePrefix="0" xfId="2">
      <alignment horizontal="center" vertical="center"/>
    </xf>
    <xf numFmtId="0" fontId="3" fillId="0" borderId="0" applyAlignment="1" pivotButton="0" quotePrefix="0" xfId="2">
      <alignment vertical="center"/>
    </xf>
    <xf numFmtId="0" fontId="7" fillId="0" borderId="0" applyAlignment="1" pivotButton="0" quotePrefix="0" xfId="2">
      <alignment vertical="center"/>
    </xf>
    <xf numFmtId="0" fontId="3" fillId="0" borderId="0" applyAlignment="1" pivotButton="0" quotePrefix="0" xfId="2">
      <alignment horizontal="center" vertical="center"/>
    </xf>
    <xf numFmtId="0" fontId="8" fillId="0" borderId="0" applyAlignment="1" pivotButton="0" quotePrefix="0" xfId="2">
      <alignment horizontal="center" vertical="center"/>
    </xf>
    <xf numFmtId="0" fontId="6" fillId="2" borderId="8" applyAlignment="1" pivotButton="0" quotePrefix="0" xfId="2">
      <alignment horizontal="center" vertical="center"/>
    </xf>
    <xf numFmtId="0" fontId="2" fillId="2" borderId="8" applyAlignment="1" pivotButton="0" quotePrefix="0" xfId="0">
      <alignment horizontal="right" vertical="center"/>
    </xf>
    <xf numFmtId="0" fontId="3" fillId="2" borderId="0" applyAlignment="1" pivotButton="0" quotePrefix="0" xfId="2">
      <alignment horizontal="center" vertical="center"/>
    </xf>
    <xf numFmtId="0" fontId="8" fillId="2" borderId="0" applyAlignment="1" pivotButton="0" quotePrefix="0" xfId="2">
      <alignment horizontal="center" vertical="center"/>
    </xf>
    <xf numFmtId="0" fontId="9" fillId="2" borderId="0" applyAlignment="1" pivotButton="0" quotePrefix="0" xfId="2">
      <alignment horizontal="center" vertical="center"/>
    </xf>
    <xf numFmtId="0" fontId="2" fillId="2" borderId="1" applyAlignment="1" pivotButton="0" quotePrefix="0" xfId="0">
      <alignment horizontal="right" vertical="center"/>
    </xf>
    <xf numFmtId="0" fontId="6" fillId="2" borderId="1" applyAlignment="1" pivotButton="0" quotePrefix="0" xfId="2">
      <alignment horizontal="center" vertical="center"/>
    </xf>
    <xf numFmtId="0" fontId="10" fillId="2" borderId="0" applyAlignment="1" pivotButton="0" quotePrefix="0" xfId="2">
      <alignment horizontal="center" vertical="center"/>
    </xf>
    <xf numFmtId="0" fontId="10" fillId="2" borderId="0" applyAlignment="1" pivotButton="0" quotePrefix="0" xfId="2">
      <alignment horizontal="center" vertical="center" wrapText="1"/>
    </xf>
    <xf numFmtId="164" fontId="10" fillId="2" borderId="0" applyAlignment="1" pivotButton="0" quotePrefix="0" xfId="2">
      <alignment horizontal="center" vertical="center"/>
    </xf>
    <xf numFmtId="0" fontId="10" fillId="2" borderId="1" applyAlignment="1" pivotButton="0" quotePrefix="0" xfId="2">
      <alignment horizontal="center" vertical="center"/>
    </xf>
    <xf numFmtId="0" fontId="11" fillId="2" borderId="1" applyAlignment="1" pivotButton="0" quotePrefix="0" xfId="2">
      <alignment horizontal="center" vertical="center"/>
    </xf>
    <xf numFmtId="0" fontId="3" fillId="2" borderId="0" applyAlignment="1" pivotButton="0" quotePrefix="0" xfId="2">
      <alignment vertical="center"/>
    </xf>
    <xf numFmtId="9" fontId="2" fillId="2" borderId="8" applyAlignment="1" pivotButton="0" quotePrefix="0" xfId="0">
      <alignment horizontal="center" vertical="center"/>
    </xf>
    <xf numFmtId="0" fontId="2" fillId="2" borderId="8" applyAlignment="1" pivotButton="0" quotePrefix="0" xfId="0">
      <alignment vertical="center"/>
    </xf>
    <xf numFmtId="0" fontId="12" fillId="0" borderId="0" applyAlignment="1" pivotButton="0" quotePrefix="0" xfId="0">
      <alignment horizontal="left" vertical="center" wrapText="1"/>
    </xf>
    <xf numFmtId="0" fontId="10" fillId="2" borderId="0" applyAlignment="1" pivotButton="0" quotePrefix="0" xfId="2">
      <alignment vertical="center"/>
    </xf>
    <xf numFmtId="0" fontId="9" fillId="2" borderId="0" applyAlignment="1" pivotButton="0" quotePrefix="0" xfId="2">
      <alignment vertical="center"/>
    </xf>
    <xf numFmtId="0" fontId="3" fillId="2" borderId="0" applyAlignment="1" pivotButton="0" quotePrefix="0" xfId="2">
      <alignment vertical="center" wrapText="1"/>
    </xf>
    <xf numFmtId="43" fontId="3" fillId="2" borderId="0" applyAlignment="1" pivotButton="0" quotePrefix="0" xfId="1">
      <alignment vertical="center"/>
    </xf>
    <xf numFmtId="0" fontId="3" fillId="0" borderId="0" applyAlignment="1" pivotButton="0" quotePrefix="0" xfId="2">
      <alignment vertical="center" wrapText="1"/>
    </xf>
    <xf numFmtId="43" fontId="3" fillId="0" borderId="0" applyAlignment="1" pivotButton="0" quotePrefix="0" xfId="1">
      <alignment vertical="center"/>
    </xf>
    <xf numFmtId="0" fontId="3" fillId="2" borderId="0" applyAlignment="1" pivotButton="0" quotePrefix="0" xfId="2">
      <alignment vertical="top"/>
    </xf>
    <xf numFmtId="0" fontId="13" fillId="0" borderId="0" pivotButton="0" quotePrefix="0" xfId="0"/>
    <xf numFmtId="0" fontId="15" fillId="3" borderId="0" pivotButton="0" quotePrefix="0" xfId="0"/>
    <xf numFmtId="0" fontId="16" fillId="3" borderId="0" pivotButton="0" quotePrefix="0" xfId="0"/>
    <xf numFmtId="0" fontId="18" fillId="3" borderId="0" pivotButton="0" quotePrefix="0" xfId="0"/>
    <xf numFmtId="0" fontId="13" fillId="0" borderId="0" applyAlignment="1" pivotButton="0" quotePrefix="0" xfId="0">
      <alignment wrapText="1"/>
    </xf>
    <xf numFmtId="0" fontId="22" fillId="3" borderId="1" applyAlignment="1" pivotButton="0" quotePrefix="0" xfId="0">
      <alignment wrapText="1"/>
    </xf>
    <xf numFmtId="0" fontId="22" fillId="3" borderId="1" pivotButton="0" quotePrefix="0" xfId="0"/>
    <xf numFmtId="0" fontId="26" fillId="3" borderId="1" applyAlignment="1" pivotButton="0" quotePrefix="0" xfId="0">
      <alignment wrapText="1"/>
    </xf>
    <xf numFmtId="0" fontId="26" fillId="3" borderId="1" pivotButton="0" quotePrefix="0" xfId="0"/>
    <xf numFmtId="0" fontId="30" fillId="3" borderId="0" pivotButton="0" quotePrefix="0" xfId="0"/>
    <xf numFmtId="0" fontId="32" fillId="3" borderId="0" pivotButton="0" quotePrefix="0" xfId="0"/>
    <xf numFmtId="0" fontId="32" fillId="3" borderId="0" applyAlignment="1" pivotButton="0" quotePrefix="0" xfId="0">
      <alignment wrapText="1"/>
    </xf>
    <xf numFmtId="0" fontId="30" fillId="3" borderId="0" applyAlignment="1" pivotButton="0" quotePrefix="0" xfId="0">
      <alignment wrapText="1"/>
    </xf>
    <xf numFmtId="0" fontId="30" fillId="3" borderId="22" applyAlignment="1" pivotButton="0" quotePrefix="0" xfId="0">
      <alignment wrapText="1"/>
    </xf>
    <xf numFmtId="0" fontId="15" fillId="3" borderId="0" applyAlignment="1" pivotButton="0" quotePrefix="0" xfId="0">
      <alignment wrapText="1"/>
    </xf>
    <xf numFmtId="0" fontId="18" fillId="3" borderId="0" applyAlignment="1" pivotButton="0" quotePrefix="0" xfId="0">
      <alignment wrapText="1"/>
    </xf>
    <xf numFmtId="4" fontId="28" fillId="3" borderId="15" applyAlignment="1" pivotButton="0" quotePrefix="0" xfId="0">
      <alignment wrapText="1"/>
    </xf>
    <xf numFmtId="0" fontId="30" fillId="3" borderId="25" pivotButton="0" quotePrefix="0" xfId="0"/>
    <xf numFmtId="0" fontId="30" fillId="3" borderId="25" applyAlignment="1" pivotButton="0" quotePrefix="0" xfId="0">
      <alignment wrapText="1"/>
    </xf>
    <xf numFmtId="0" fontId="30" fillId="3" borderId="4" applyAlignment="1" pivotButton="0" quotePrefix="0" xfId="0">
      <alignment wrapText="1"/>
    </xf>
    <xf numFmtId="0" fontId="27" fillId="3" borderId="4" pivotButton="0" quotePrefix="0" xfId="0"/>
    <xf numFmtId="0" fontId="18" fillId="3" borderId="0" applyAlignment="1" pivotButton="0" quotePrefix="0" xfId="0">
      <alignment horizontal="center" vertical="center"/>
    </xf>
    <xf numFmtId="15" fontId="18" fillId="3" borderId="1" applyAlignment="1" pivotButton="0" quotePrefix="0" xfId="0">
      <alignment horizontal="center" vertical="center"/>
    </xf>
    <xf numFmtId="0" fontId="21" fillId="3" borderId="15" applyAlignment="1" pivotButton="0" quotePrefix="0" xfId="0">
      <alignment horizontal="center" vertical="center" wrapText="1"/>
    </xf>
    <xf numFmtId="0" fontId="21" fillId="3" borderId="11" applyAlignment="1" pivotButton="0" quotePrefix="0" xfId="0">
      <alignment horizontal="center" vertical="center"/>
    </xf>
    <xf numFmtId="0" fontId="34" fillId="3" borderId="3" pivotButton="0" quotePrefix="0" xfId="0"/>
    <xf numFmtId="0" fontId="22" fillId="3" borderId="6" applyAlignment="1" pivotButton="0" quotePrefix="0" xfId="0">
      <alignment horizontal="center" vertical="center" wrapText="1"/>
    </xf>
    <xf numFmtId="0" fontId="26" fillId="3" borderId="6" applyAlignment="1" pivotButton="0" quotePrefix="0" xfId="0">
      <alignment horizontal="center" vertical="center" wrapText="1"/>
    </xf>
    <xf numFmtId="0" fontId="26" fillId="3" borderId="2" applyAlignment="1" pivotButton="0" quotePrefix="0" xfId="0">
      <alignment horizontal="center" vertical="center" wrapText="1"/>
    </xf>
    <xf numFmtId="0" fontId="31" fillId="3" borderId="21" applyAlignment="1" pivotButton="0" quotePrefix="0" xfId="0">
      <alignment horizontal="center" vertical="center" wrapText="1"/>
    </xf>
    <xf numFmtId="0" fontId="31" fillId="3" borderId="6" applyAlignment="1" pivotButton="0" quotePrefix="0" xfId="0">
      <alignment horizontal="center" vertical="center" wrapText="1"/>
    </xf>
    <xf numFmtId="0" fontId="33" fillId="3" borderId="6" applyAlignment="1" pivotButton="0" quotePrefix="0" xfId="0">
      <alignment horizontal="center" vertical="center" wrapText="1"/>
    </xf>
    <xf numFmtId="4" fontId="28" fillId="3" borderId="1" applyAlignment="1" pivotButton="0" quotePrefix="0" xfId="0">
      <alignment wrapText="1"/>
    </xf>
    <xf numFmtId="0" fontId="21" fillId="3" borderId="14" applyAlignment="1" pivotButton="0" quotePrefix="0" xfId="0">
      <alignment horizontal="center" vertical="center"/>
    </xf>
    <xf numFmtId="4" fontId="16" fillId="3" borderId="0" applyAlignment="1" pivotButton="0" quotePrefix="0" xfId="0">
      <alignment horizontal="left" vertical="top" wrapText="1"/>
    </xf>
    <xf numFmtId="0" fontId="16" fillId="3" borderId="0" applyAlignment="1" pivotButton="0" quotePrefix="0" xfId="0">
      <alignment vertical="center" wrapText="1"/>
    </xf>
    <xf numFmtId="0" fontId="30" fillId="3" borderId="22" pivotButton="0" quotePrefix="0" xfId="0"/>
    <xf numFmtId="0" fontId="21" fillId="3" borderId="5" applyAlignment="1" pivotButton="0" quotePrefix="0" xfId="0">
      <alignment horizontal="center" vertical="center" wrapText="1"/>
    </xf>
    <xf numFmtId="9" fontId="28" fillId="3" borderId="1" applyAlignment="1" pivotButton="0" quotePrefix="0" xfId="3">
      <alignment wrapText="1"/>
    </xf>
    <xf numFmtId="0" fontId="28" fillId="3" borderId="14" pivotButton="0" quotePrefix="0" xfId="0"/>
    <xf numFmtId="0" fontId="28" fillId="3" borderId="15" applyAlignment="1" pivotButton="0" quotePrefix="0" xfId="0">
      <alignment vertical="center" wrapText="1"/>
    </xf>
    <xf numFmtId="0" fontId="28" fillId="3" borderId="26" pivotButton="0" quotePrefix="0" xfId="0"/>
    <xf numFmtId="0" fontId="26" fillId="3" borderId="29" pivotButton="0" quotePrefix="0" xfId="0"/>
    <xf numFmtId="0" fontId="26" fillId="3" borderId="28" pivotButton="0" quotePrefix="0" xfId="0"/>
    <xf numFmtId="164" fontId="38" fillId="2" borderId="0" applyAlignment="1" pivotButton="0" quotePrefix="0" xfId="2">
      <alignment horizontal="center" vertical="center"/>
    </xf>
    <xf numFmtId="0" fontId="38" fillId="2" borderId="0" applyAlignment="1" pivotButton="0" quotePrefix="0" xfId="2">
      <alignment horizontal="center" vertical="center"/>
    </xf>
    <xf numFmtId="0" fontId="39" fillId="2" borderId="4" applyAlignment="1" pivotButton="0" quotePrefix="0" xfId="4">
      <alignment horizontal="center" vertical="center"/>
    </xf>
    <xf numFmtId="0" fontId="38" fillId="2" borderId="0" applyAlignment="1" pivotButton="0" quotePrefix="0" xfId="2">
      <alignment vertical="center"/>
    </xf>
    <xf numFmtId="43" fontId="38" fillId="2" borderId="0" applyAlignment="1" pivotButton="0" quotePrefix="0" xfId="1">
      <alignment vertical="center"/>
    </xf>
    <xf numFmtId="0" fontId="38" fillId="2" borderId="4" applyAlignment="1" pivotButton="0" quotePrefix="0" xfId="2">
      <alignment horizontal="center" vertical="center"/>
    </xf>
    <xf numFmtId="0" fontId="40" fillId="2" borderId="0" applyAlignment="1" pivotButton="0" quotePrefix="0" xfId="2">
      <alignment horizontal="center" vertical="center"/>
    </xf>
    <xf numFmtId="0" fontId="38" fillId="2" borderId="0" applyAlignment="1" pivotButton="0" quotePrefix="0" xfId="2">
      <alignment vertical="center" wrapText="1"/>
    </xf>
    <xf numFmtId="0" fontId="40" fillId="2" borderId="0" applyAlignment="1" pivotButton="0" quotePrefix="0" xfId="2">
      <alignment vertical="center"/>
    </xf>
    <xf numFmtId="0" fontId="4" fillId="2" borderId="0" applyAlignment="1" pivotButton="0" quotePrefix="0" xfId="2">
      <alignment vertical="center"/>
    </xf>
    <xf numFmtId="165" fontId="3" fillId="2" borderId="0" applyAlignment="1" pivotButton="0" quotePrefix="0" xfId="2">
      <alignment vertical="center"/>
    </xf>
    <xf numFmtId="0" fontId="21" fillId="3" borderId="30" applyAlignment="1" pivotButton="0" quotePrefix="0" xfId="0">
      <alignment horizontal="center" vertical="center"/>
    </xf>
    <xf numFmtId="4" fontId="28" fillId="3" borderId="5" applyAlignment="1" pivotButton="0" quotePrefix="0" xfId="0">
      <alignment wrapText="1"/>
    </xf>
    <xf numFmtId="9" fontId="28" fillId="3" borderId="5" applyAlignment="1" pivotButton="0" quotePrefix="0" xfId="3">
      <alignment wrapText="1"/>
    </xf>
    <xf numFmtId="0" fontId="23" fillId="3" borderId="1" applyAlignment="1" pivotButton="0" quotePrefix="0" xfId="0">
      <alignment horizontal="center" vertical="center" wrapText="1"/>
    </xf>
    <xf numFmtId="43" fontId="25" fillId="3" borderId="26" applyAlignment="1" pivotButton="0" quotePrefix="0" xfId="1">
      <alignment vertical="center" wrapText="1"/>
    </xf>
    <xf numFmtId="43" fontId="25" fillId="3" borderId="15" applyAlignment="1" pivotButton="0" quotePrefix="0" xfId="1">
      <alignment vertical="center" wrapText="1"/>
    </xf>
    <xf numFmtId="43" fontId="25" fillId="3" borderId="5" applyAlignment="1" pivotButton="0" quotePrefix="0" xfId="1">
      <alignment vertical="center" wrapText="1"/>
    </xf>
    <xf numFmtId="43" fontId="25" fillId="3" borderId="29" applyAlignment="1" pivotButton="0" quotePrefix="0" xfId="1">
      <alignment vertical="center" wrapText="1"/>
    </xf>
    <xf numFmtId="43" fontId="25" fillId="3" borderId="9" applyAlignment="1" pivotButton="0" quotePrefix="0" xfId="1">
      <alignment vertical="center" wrapText="1"/>
    </xf>
    <xf numFmtId="0" fontId="24" fillId="3" borderId="6" applyAlignment="1" pivotButton="0" quotePrefix="0" xfId="0">
      <alignment vertical="center" wrapText="1"/>
    </xf>
    <xf numFmtId="0" fontId="22" fillId="3" borderId="15" applyAlignment="1" pivotButton="0" quotePrefix="0" xfId="0">
      <alignment vertical="center" wrapText="1"/>
    </xf>
    <xf numFmtId="43" fontId="25" fillId="3" borderId="7" applyAlignment="1" pivotButton="0" quotePrefix="0" xfId="1">
      <alignment vertical="center" wrapText="1"/>
    </xf>
    <xf numFmtId="0" fontId="13" fillId="0" borderId="1" applyAlignment="1" pivotButton="0" quotePrefix="0" xfId="0">
      <alignment wrapText="1"/>
    </xf>
    <xf numFmtId="0" fontId="22" fillId="3" borderId="28" applyAlignment="1" pivotButton="0" quotePrefix="0" xfId="0">
      <alignment horizontal="center" vertical="center" wrapText="1"/>
    </xf>
    <xf numFmtId="0" fontId="24" fillId="3" borderId="28" applyAlignment="1" pivotButton="0" quotePrefix="0" xfId="0">
      <alignment vertical="center" wrapText="1"/>
    </xf>
    <xf numFmtId="0" fontId="22" fillId="3" borderId="16" applyAlignment="1" pivotButton="0" quotePrefix="0" xfId="0">
      <alignment vertical="center" wrapText="1"/>
    </xf>
    <xf numFmtId="43" fontId="25" fillId="3" borderId="17" applyAlignment="1" pivotButton="0" quotePrefix="0" xfId="1">
      <alignment vertical="center" wrapText="1"/>
    </xf>
    <xf numFmtId="43" fontId="25" fillId="3" borderId="16" applyAlignment="1" pivotButton="0" quotePrefix="0" xfId="1">
      <alignment vertical="center" wrapText="1"/>
    </xf>
    <xf numFmtId="0" fontId="24" fillId="3" borderId="1" applyAlignment="1" pivotButton="0" quotePrefix="0" xfId="0">
      <alignment vertical="center" wrapText="1"/>
    </xf>
    <xf numFmtId="0" fontId="22" fillId="3" borderId="1" applyAlignment="1" pivotButton="0" quotePrefix="0" xfId="0">
      <alignment vertical="center" wrapText="1"/>
    </xf>
    <xf numFmtId="43" fontId="25" fillId="3" borderId="1" applyAlignment="1" pivotButton="0" quotePrefix="0" xfId="1">
      <alignment vertical="center" wrapText="1"/>
    </xf>
    <xf numFmtId="0" fontId="12" fillId="0" borderId="0" applyAlignment="1" pivotButton="0" quotePrefix="0" xfId="0">
      <alignment horizontal="left" vertical="center" wrapText="1"/>
    </xf>
    <xf numFmtId="0" fontId="14" fillId="3" borderId="0" applyAlignment="1" pivotButton="0" quotePrefix="0" xfId="0">
      <alignment wrapText="1"/>
    </xf>
    <xf numFmtId="0" fontId="17" fillId="3" borderId="0" applyAlignment="1" pivotButton="0" quotePrefix="0" xfId="0">
      <alignment wrapText="1"/>
    </xf>
    <xf numFmtId="0" fontId="19" fillId="3" borderId="3" applyAlignment="1" pivotButton="0" quotePrefix="0" xfId="0">
      <alignment horizontal="center" vertical="center" wrapText="1"/>
    </xf>
    <xf numFmtId="0" fontId="19" fillId="3" borderId="4" applyAlignment="1" pivotButton="0" quotePrefix="0" xfId="0">
      <alignment horizontal="center" vertical="center" wrapText="1"/>
    </xf>
    <xf numFmtId="0" fontId="19" fillId="3" borderId="20" applyAlignment="1" pivotButton="0" quotePrefix="0" xfId="0">
      <alignment horizontal="center" vertical="center" wrapText="1"/>
    </xf>
    <xf numFmtId="0" fontId="19" fillId="3" borderId="10" applyAlignment="1" pivotButton="0" quotePrefix="0" xfId="0">
      <alignment horizontal="center" vertical="center" wrapText="1"/>
    </xf>
    <xf numFmtId="0" fontId="19" fillId="3" borderId="0" applyAlignment="1" pivotButton="0" quotePrefix="0" xfId="0">
      <alignment horizontal="center" vertical="center" wrapText="1"/>
    </xf>
    <xf numFmtId="0" fontId="19" fillId="3" borderId="22" applyAlignment="1" pivotButton="0" quotePrefix="0" xfId="0">
      <alignment horizontal="center" vertical="center" wrapText="1"/>
    </xf>
    <xf numFmtId="0" fontId="19" fillId="3" borderId="7" applyAlignment="1" pivotButton="0" quotePrefix="0" xfId="0">
      <alignment horizontal="center" vertical="center" wrapText="1"/>
    </xf>
    <xf numFmtId="0" fontId="19" fillId="3" borderId="1" applyAlignment="1" pivotButton="0" quotePrefix="0" xfId="0">
      <alignment horizontal="center" vertical="center" wrapText="1"/>
    </xf>
    <xf numFmtId="0" fontId="19" fillId="3" borderId="5" applyAlignment="1" pivotButton="0" quotePrefix="0" xfId="0">
      <alignment horizontal="center" vertical="center" wrapText="1"/>
    </xf>
    <xf numFmtId="0" fontId="19" fillId="3" borderId="21" applyAlignment="1" pivotButton="0" quotePrefix="0" xfId="0">
      <alignment horizontal="center" wrapText="1"/>
    </xf>
    <xf numFmtId="0" fontId="19" fillId="3" borderId="2" applyAlignment="1" pivotButton="0" quotePrefix="0" xfId="0">
      <alignment horizontal="center" wrapText="1"/>
    </xf>
    <xf numFmtId="0" fontId="19" fillId="3" borderId="6" applyAlignment="1" pivotButton="0" quotePrefix="0" xfId="0">
      <alignment horizontal="center" wrapText="1"/>
    </xf>
    <xf numFmtId="0" fontId="19" fillId="3" borderId="10" applyAlignment="1" pivotButton="0" quotePrefix="0" xfId="0">
      <alignment horizontal="center" wrapText="1"/>
    </xf>
    <xf numFmtId="0" fontId="19" fillId="3" borderId="7" applyAlignment="1" pivotButton="0" quotePrefix="0" xfId="0">
      <alignment horizontal="center" wrapText="1"/>
    </xf>
    <xf numFmtId="0" fontId="19" fillId="3" borderId="3" applyAlignment="1" pivotButton="0" quotePrefix="0" xfId="0">
      <alignment horizontal="center" wrapText="1"/>
    </xf>
    <xf numFmtId="0" fontId="19" fillId="3" borderId="4" applyAlignment="1" pivotButton="0" quotePrefix="0" xfId="0">
      <alignment horizontal="center" wrapText="1"/>
    </xf>
    <xf numFmtId="0" fontId="19" fillId="3" borderId="23" applyAlignment="1" pivotButton="0" quotePrefix="0" xfId="0">
      <alignment horizontal="center" wrapText="1"/>
    </xf>
    <xf numFmtId="0" fontId="20" fillId="3" borderId="12" applyAlignment="1" pivotButton="0" quotePrefix="0" xfId="0">
      <alignment horizontal="center" vertical="center" wrapText="1"/>
    </xf>
    <xf numFmtId="0" fontId="20" fillId="3" borderId="13" applyAlignment="1" pivotButton="0" quotePrefix="0" xfId="0">
      <alignment horizontal="center" vertical="center" wrapText="1"/>
    </xf>
    <xf numFmtId="0" fontId="20" fillId="3" borderId="3" applyAlignment="1" pivotButton="0" quotePrefix="0" xfId="0">
      <alignment horizontal="center" vertical="center" wrapText="1"/>
    </xf>
    <xf numFmtId="0" fontId="20" fillId="3" borderId="20" applyAlignment="1" pivotButton="0" quotePrefix="0" xfId="0">
      <alignment horizontal="center" vertical="center" wrapText="1"/>
    </xf>
    <xf numFmtId="0" fontId="20" fillId="3" borderId="4" applyAlignment="1" pivotButton="0" quotePrefix="0" xfId="0">
      <alignment horizontal="center" vertical="center" wrapText="1"/>
    </xf>
    <xf numFmtId="0" fontId="26" fillId="3" borderId="3" applyAlignment="1" pivotButton="0" quotePrefix="0" xfId="0">
      <alignment horizontal="left" vertical="top"/>
    </xf>
    <xf numFmtId="0" fontId="26" fillId="3" borderId="4" applyAlignment="1" pivotButton="0" quotePrefix="0" xfId="0">
      <alignment horizontal="left" vertical="top"/>
    </xf>
    <xf numFmtId="0" fontId="13" fillId="0" borderId="0" applyAlignment="1" pivotButton="0" quotePrefix="0" xfId="0">
      <alignment wrapText="1"/>
    </xf>
    <xf numFmtId="0" fontId="35" fillId="2" borderId="7" applyAlignment="1" pivotButton="0" quotePrefix="0" xfId="0">
      <alignment horizontal="left" vertical="top" wrapText="1"/>
    </xf>
    <xf numFmtId="0" fontId="35" fillId="2" borderId="1" applyAlignment="1" pivotButton="0" quotePrefix="0" xfId="0">
      <alignment horizontal="left" vertical="top" wrapText="1"/>
    </xf>
    <xf numFmtId="0" fontId="35" fillId="2" borderId="5" applyAlignment="1" pivotButton="0" quotePrefix="0" xfId="0">
      <alignment horizontal="left" vertical="top" wrapText="1"/>
    </xf>
    <xf numFmtId="0" fontId="32" fillId="3" borderId="1" applyAlignment="1" pivotButton="0" quotePrefix="0" xfId="0">
      <alignment wrapText="1"/>
    </xf>
    <xf numFmtId="0" fontId="32" fillId="3" borderId="24" applyAlignment="1" pivotButton="0" quotePrefix="0" xfId="0">
      <alignment wrapText="1"/>
    </xf>
    <xf numFmtId="0" fontId="18" fillId="3" borderId="1" applyAlignment="1" pivotButton="0" quotePrefix="0" xfId="0">
      <alignment wrapText="1"/>
    </xf>
    <xf numFmtId="0" fontId="18" fillId="3" borderId="24" applyAlignment="1" pivotButton="0" quotePrefix="0" xfId="0">
      <alignment wrapText="1"/>
    </xf>
    <xf numFmtId="0" fontId="22" fillId="3" borderId="29" applyAlignment="1" pivotButton="0" quotePrefix="0" xfId="0">
      <alignment horizontal="center" vertical="center" wrapText="1"/>
    </xf>
    <xf numFmtId="0" fontId="22" fillId="3" borderId="9" applyAlignment="1" pivotButton="0" quotePrefix="0" xfId="0">
      <alignment horizontal="center" vertical="center" wrapText="1"/>
    </xf>
    <xf numFmtId="0" fontId="29" fillId="3" borderId="29" applyAlignment="1" pivotButton="0" quotePrefix="0" xfId="0">
      <alignment horizontal="center" vertical="center" wrapText="1"/>
    </xf>
    <xf numFmtId="0" fontId="29" fillId="3" borderId="9" applyAlignment="1" pivotButton="0" quotePrefix="0" xfId="0">
      <alignment horizontal="center" vertical="center" wrapText="1"/>
    </xf>
    <xf numFmtId="0" fontId="18" fillId="3" borderId="0" applyAlignment="1" pivotButton="0" quotePrefix="0" xfId="0">
      <alignment horizontal="left"/>
    </xf>
    <xf numFmtId="0" fontId="22" fillId="3" borderId="17" applyAlignment="1" pivotButton="0" quotePrefix="0" xfId="0">
      <alignment horizontal="center" vertical="center" wrapText="1"/>
    </xf>
    <xf numFmtId="0" fontId="22" fillId="3" borderId="16" applyAlignment="1" pivotButton="0" quotePrefix="0" xfId="0">
      <alignment horizontal="center" vertical="center" wrapText="1"/>
    </xf>
    <xf numFmtId="0" fontId="22" fillId="3" borderId="8" applyAlignment="1" pivotButton="0" quotePrefix="0" xfId="0">
      <alignment horizontal="center" vertical="center" wrapText="1"/>
    </xf>
    <xf numFmtId="0" fontId="29" fillId="3" borderId="18" applyAlignment="1" pivotButton="0" quotePrefix="0" xfId="0">
      <alignment horizontal="center" vertical="center" wrapText="1"/>
    </xf>
    <xf numFmtId="0" fontId="29" fillId="3" borderId="19" applyAlignment="1" pivotButton="0" quotePrefix="0" xfId="0">
      <alignment horizontal="center" vertical="center" wrapText="1"/>
    </xf>
    <xf numFmtId="0" fontId="29" fillId="3" borderId="27" applyAlignment="1" pivotButton="0" quotePrefix="0" xfId="0">
      <alignment horizontal="center" vertical="center" wrapText="1"/>
    </xf>
    <xf numFmtId="0" fontId="23" fillId="3" borderId="29" applyAlignment="1" pivotButton="0" quotePrefix="0" xfId="0">
      <alignment horizontal="center" vertical="center" wrapText="1"/>
    </xf>
    <xf numFmtId="0" fontId="23" fillId="3" borderId="8" applyAlignment="1" pivotButton="0" quotePrefix="0" xfId="0">
      <alignment horizontal="center" vertical="center" wrapText="1"/>
    </xf>
    <xf numFmtId="0" fontId="23" fillId="3" borderId="9" applyAlignment="1" pivotButton="0" quotePrefix="0" xfId="0">
      <alignment horizontal="center" vertical="center" wrapText="1"/>
    </xf>
    <xf numFmtId="0" fontId="23" fillId="3" borderId="7" applyAlignment="1" pivotButton="0" quotePrefix="0" xfId="0">
      <alignment horizontal="center" vertical="center" wrapText="1"/>
    </xf>
    <xf numFmtId="0" fontId="23" fillId="3" borderId="1" applyAlignment="1" pivotButton="0" quotePrefix="0" xfId="0">
      <alignment horizontal="center" vertical="center" wrapText="1"/>
    </xf>
    <xf numFmtId="0" fontId="23" fillId="3" borderId="5" applyAlignment="1" pivotButton="0" quotePrefix="0" xfId="0">
      <alignment horizontal="center" vertical="center" wrapText="1"/>
    </xf>
    <xf numFmtId="4" fontId="28" fillId="3" borderId="15" applyAlignment="1" pivotButton="0" quotePrefix="0" xfId="0">
      <alignment horizontal="right" wrapText="1"/>
    </xf>
    <xf numFmtId="9" fontId="28" fillId="3" borderId="15" applyAlignment="1" pivotButton="0" quotePrefix="0" xfId="0">
      <alignment horizontal="right" wrapText="1"/>
    </xf>
    <xf numFmtId="43" fontId="3" fillId="0" borderId="0" applyAlignment="1" pivotButton="0" quotePrefix="0" xfId="1">
      <alignment vertical="center"/>
    </xf>
    <xf numFmtId="0" fontId="19" fillId="3" borderId="28" applyAlignment="1" pivotButton="0" quotePrefix="0" xfId="0">
      <alignment horizontal="center" vertical="center" wrapText="1"/>
    </xf>
    <xf numFmtId="0" fontId="0" fillId="0" borderId="4" pivotButton="0" quotePrefix="0" xfId="0"/>
    <xf numFmtId="0" fontId="0" fillId="0" borderId="20" pivotButton="0" quotePrefix="0" xfId="0"/>
    <xf numFmtId="0" fontId="19" fillId="3" borderId="28" applyAlignment="1" pivotButton="0" quotePrefix="0" xfId="0">
      <alignment horizontal="center" wrapText="1"/>
    </xf>
    <xf numFmtId="0" fontId="19" fillId="3" borderId="35" applyAlignment="1" pivotButton="0" quotePrefix="0" xfId="0">
      <alignment horizontal="center" wrapText="1"/>
    </xf>
    <xf numFmtId="0" fontId="0" fillId="0" borderId="23" pivotButton="0" quotePrefix="0" xfId="0"/>
    <xf numFmtId="0" fontId="0" fillId="0" borderId="10" pivotButton="0" quotePrefix="0" xfId="0"/>
    <xf numFmtId="0" fontId="0" fillId="0" borderId="22" pivotButton="0" quotePrefix="0" xfId="0"/>
    <xf numFmtId="0" fontId="0" fillId="0" borderId="2" pivotButton="0" quotePrefix="0" xfId="0"/>
    <xf numFmtId="0" fontId="20" fillId="3" borderId="36" applyAlignment="1" pivotButton="0" quotePrefix="0" xfId="0">
      <alignment horizontal="center" vertical="center" wrapText="1"/>
    </xf>
    <xf numFmtId="0" fontId="0" fillId="0" borderId="13" pivotButton="0" quotePrefix="0" xfId="0"/>
    <xf numFmtId="0" fontId="20" fillId="3" borderId="21" applyAlignment="1" pivotButton="0" quotePrefix="0" xfId="0">
      <alignment horizontal="center" vertical="center" wrapText="1"/>
    </xf>
    <xf numFmtId="0" fontId="0" fillId="0" borderId="7" pivotButton="0" quotePrefix="0" xfId="0"/>
    <xf numFmtId="0" fontId="0" fillId="0" borderId="1" pivotButton="0" quotePrefix="0" xfId="0"/>
    <xf numFmtId="0" fontId="0" fillId="0" borderId="5" pivotButton="0" quotePrefix="0" xfId="0"/>
    <xf numFmtId="0" fontId="0" fillId="0" borderId="6" pivotButton="0" quotePrefix="0" xfId="0"/>
    <xf numFmtId="0" fontId="23" fillId="3" borderId="28" applyAlignment="1" pivotButton="0" quotePrefix="0" xfId="0">
      <alignment horizontal="center" vertical="center" wrapText="1"/>
    </xf>
    <xf numFmtId="0" fontId="0" fillId="0" borderId="8" pivotButton="0" quotePrefix="0" xfId="0"/>
    <xf numFmtId="0" fontId="0" fillId="0" borderId="9" pivotButton="0" quotePrefix="0" xfId="0"/>
    <xf numFmtId="43" fontId="25" fillId="3" borderId="17" applyAlignment="1" pivotButton="0" quotePrefix="0" xfId="1">
      <alignment vertical="center" wrapText="1"/>
    </xf>
    <xf numFmtId="43" fontId="25" fillId="3" borderId="16" applyAlignment="1" pivotButton="0" quotePrefix="0" xfId="1">
      <alignment vertical="center" wrapText="1"/>
    </xf>
    <xf numFmtId="43" fontId="25" fillId="3" borderId="9" applyAlignment="1" pivotButton="0" quotePrefix="0" xfId="1">
      <alignment vertical="center" wrapText="1"/>
    </xf>
    <xf numFmtId="43" fontId="25" fillId="3" borderId="29" applyAlignment="1" pivotButton="0" quotePrefix="0" xfId="1">
      <alignment vertical="center" wrapText="1"/>
    </xf>
    <xf numFmtId="0" fontId="23" fillId="3" borderId="6" applyAlignment="1" pivotButton="0" quotePrefix="0" xfId="0">
      <alignment horizontal="center" vertical="center" wrapText="1"/>
    </xf>
    <xf numFmtId="43" fontId="25" fillId="3" borderId="26" applyAlignment="1" pivotButton="0" quotePrefix="0" xfId="1">
      <alignment vertical="center" wrapText="1"/>
    </xf>
    <xf numFmtId="43" fontId="25" fillId="3" borderId="15" applyAlignment="1" pivotButton="0" quotePrefix="0" xfId="1">
      <alignment vertical="center" wrapText="1"/>
    </xf>
    <xf numFmtId="43" fontId="25" fillId="3" borderId="5" applyAlignment="1" pivotButton="0" quotePrefix="0" xfId="1">
      <alignment vertical="center" wrapText="1"/>
    </xf>
    <xf numFmtId="43" fontId="25" fillId="3" borderId="7" applyAlignment="1" pivotButton="0" quotePrefix="0" xfId="1">
      <alignment vertical="center" wrapText="1"/>
    </xf>
    <xf numFmtId="43" fontId="25" fillId="3" borderId="1" applyAlignment="1" pivotButton="0" quotePrefix="0" xfId="1">
      <alignment vertical="center" wrapText="1"/>
    </xf>
    <xf numFmtId="165" fontId="3" fillId="2" borderId="0" applyAlignment="1" pivotButton="0" quotePrefix="0" xfId="2">
      <alignment vertical="center"/>
    </xf>
    <xf numFmtId="0" fontId="22" fillId="3" borderId="31" applyAlignment="1" pivotButton="0" quotePrefix="0" xfId="0">
      <alignment horizontal="center" vertical="center" wrapText="1"/>
    </xf>
    <xf numFmtId="0" fontId="0" fillId="0" borderId="16" pivotButton="0" quotePrefix="0" xfId="0"/>
    <xf numFmtId="0" fontId="29" fillId="3" borderId="33" applyAlignment="1" pivotButton="0" quotePrefix="0" xfId="0">
      <alignment horizontal="center" vertical="center" wrapText="1"/>
    </xf>
    <xf numFmtId="0" fontId="0" fillId="0" borderId="19" pivotButton="0" quotePrefix="0" xfId="0"/>
    <xf numFmtId="0" fontId="0" fillId="0" borderId="27" pivotButton="0" quotePrefix="0" xfId="0"/>
    <xf numFmtId="0" fontId="29" fillId="3" borderId="28" applyAlignment="1" pivotButton="0" quotePrefix="0" xfId="0">
      <alignment horizontal="center" vertical="center" wrapText="1"/>
    </xf>
    <xf numFmtId="0" fontId="35" fillId="2" borderId="6" applyAlignment="1" pivotButton="0" quotePrefix="0" xfId="0">
      <alignment horizontal="left" vertical="top" wrapText="1"/>
    </xf>
    <xf numFmtId="0" fontId="0" fillId="0" borderId="24" pivotButton="0" quotePrefix="0" xfId="0"/>
    <xf numFmtId="164" fontId="10" fillId="2" borderId="0" applyAlignment="1" pivotButton="0" quotePrefix="0" xfId="2">
      <alignment horizontal="center" vertical="center"/>
    </xf>
    <xf numFmtId="164" fontId="38" fillId="2" borderId="0" applyAlignment="1" pivotButton="0" quotePrefix="0" xfId="2">
      <alignment horizontal="center" vertical="center"/>
    </xf>
    <xf numFmtId="43" fontId="38" fillId="2" borderId="0" applyAlignment="1" pivotButton="0" quotePrefix="0" xfId="1">
      <alignment vertical="center"/>
    </xf>
    <xf numFmtId="43" fontId="3" fillId="2" borderId="0" applyAlignment="1" pivotButton="0" quotePrefix="0" xfId="1">
      <alignment vertical="center"/>
    </xf>
  </cellXfs>
  <cellStyles count="5">
    <cellStyle name="Normal" xfId="0" builtinId="0"/>
    <cellStyle name="Comma" xfId="1" builtinId="3"/>
    <cellStyle name="Normal 2" xfId="2"/>
    <cellStyle name="Percent" xfId="3" builtinId="5"/>
    <cellStyle name="Hyperlink" xfId="4" builtinId="8"/>
  </cellStyles>
  <dxfs count="4">
    <dxf>
      <fill>
        <patternFill>
          <bgColor theme="7" tint="0.7999816888943144"/>
        </patternFill>
      </fill>
    </dxf>
    <dxf>
      <fill>
        <patternFill>
          <bgColor theme="8" tint="0.3999450666829432"/>
        </patternFill>
      </fill>
    </dxf>
    <dxf>
      <fill>
        <patternFill>
          <bgColor rgb="FF92D05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W60"/>
  <sheetViews>
    <sheetView tabSelected="1" view="pageBreakPreview" zoomScale="70" zoomScaleNormal="55" zoomScaleSheetLayoutView="70" workbookViewId="0">
      <selection activeCell="L7" sqref="L7"/>
    </sheetView>
  </sheetViews>
  <sheetFormatPr baseColWidth="8" defaultColWidth="9.21875" defaultRowHeight="13.2"/>
  <cols>
    <col width="5.5546875" customWidth="1" style="2" min="1" max="1"/>
    <col width="8.5546875" customWidth="1" style="2" min="2" max="2"/>
    <col width="28.5546875" customWidth="1" style="26" min="3" max="3"/>
    <col width="24.44140625" customWidth="1" style="2" min="4" max="5"/>
    <col width="6.5546875" customWidth="1" style="2" min="6" max="6"/>
    <col width="5.77734375" customWidth="1" style="2" min="7" max="7"/>
    <col width="18.5546875" customWidth="1" style="2" min="8" max="11"/>
    <col width="18.5546875" customWidth="1" style="159" min="12" max="13"/>
    <col width="15.21875" customWidth="1" style="2" min="14" max="14"/>
    <col width="12.21875" customWidth="1" style="2" min="15" max="21"/>
    <col width="9.21875" customWidth="1" style="2" min="22" max="16384"/>
  </cols>
  <sheetData>
    <row r="1" ht="21" customHeight="1">
      <c r="A1" s="29" t="n"/>
      <c r="B1" s="106" t="inlineStr">
        <is>
          <t>LEADER ENERGY CAPITAL SDN BHD</t>
        </is>
      </c>
      <c r="N1" s="18" t="n"/>
    </row>
    <row r="2" ht="15.75" customHeight="1">
      <c r="A2" s="29" t="n"/>
      <c r="B2" s="144" t="inlineStr">
        <is>
          <t>Quote comparison form  - Commercial and Technical Recommendation</t>
        </is>
      </c>
      <c r="I2" s="43" t="inlineStr">
        <is>
          <t> </t>
        </is>
      </c>
      <c r="J2" s="30" t="inlineStr">
        <is>
          <t> </t>
        </is>
      </c>
      <c r="K2" s="43" t="inlineStr">
        <is>
          <t> </t>
        </is>
      </c>
      <c r="L2" s="30" t="inlineStr">
        <is>
          <t> </t>
        </is>
      </c>
      <c r="M2" s="30" t="inlineStr">
        <is>
          <t> </t>
        </is>
      </c>
      <c r="N2" s="18" t="n"/>
    </row>
    <row r="3" ht="15.45" customHeight="1">
      <c r="A3" s="29" t="n"/>
      <c r="B3" s="64" t="inlineStr">
        <is>
          <t>RO:</t>
        </is>
      </c>
      <c r="C3" s="107" t="n"/>
      <c r="F3" s="44" t="inlineStr">
        <is>
          <t> </t>
        </is>
      </c>
      <c r="G3" s="44" t="inlineStr">
        <is>
          <t> </t>
        </is>
      </c>
      <c r="H3" s="32" t="inlineStr">
        <is>
          <t> </t>
        </is>
      </c>
      <c r="I3" s="44" t="inlineStr">
        <is>
          <t> </t>
        </is>
      </c>
      <c r="J3" s="32" t="inlineStr">
        <is>
          <t> </t>
        </is>
      </c>
      <c r="K3" s="44" t="inlineStr">
        <is>
          <t> </t>
        </is>
      </c>
      <c r="L3" s="50" t="inlineStr">
        <is>
          <t xml:space="preserve">Date: </t>
        </is>
      </c>
      <c r="M3" s="51" t="n"/>
      <c r="N3" s="82" t="n"/>
    </row>
    <row r="4" ht="18" customHeight="1">
      <c r="A4" s="29" t="n"/>
      <c r="B4" s="64" t="inlineStr">
        <is>
          <t>Budget:</t>
        </is>
      </c>
      <c r="C4" s="63" t="n"/>
      <c r="D4" s="31" t="inlineStr">
        <is>
          <t> </t>
        </is>
      </c>
      <c r="E4" s="31" t="inlineStr">
        <is>
          <t> </t>
        </is>
      </c>
      <c r="F4" s="44" t="inlineStr">
        <is>
          <t> </t>
        </is>
      </c>
      <c r="G4" s="44" t="inlineStr">
        <is>
          <t> </t>
        </is>
      </c>
      <c r="H4" s="32" t="inlineStr">
        <is>
          <t> </t>
        </is>
      </c>
      <c r="I4" s="44" t="inlineStr">
        <is>
          <t> </t>
        </is>
      </c>
      <c r="J4" s="32" t="inlineStr">
        <is>
          <t> </t>
        </is>
      </c>
      <c r="K4" s="44" t="inlineStr">
        <is>
          <t> </t>
        </is>
      </c>
      <c r="L4" s="32" t="inlineStr">
        <is>
          <t> </t>
        </is>
      </c>
      <c r="M4" s="32" t="inlineStr">
        <is>
          <t> </t>
        </is>
      </c>
      <c r="N4" s="18" t="n"/>
      <c r="P4" s="1" t="n"/>
    </row>
    <row r="5" ht="15.75" customHeight="1">
      <c r="A5" s="29" t="n"/>
      <c r="B5" s="160" t="inlineStr">
        <is>
          <t>Descriptions</t>
        </is>
      </c>
      <c r="C5" s="161" t="n"/>
      <c r="D5" s="161" t="n"/>
      <c r="E5" s="162" t="n"/>
      <c r="F5" s="163" t="inlineStr">
        <is>
          <t>QTY</t>
        </is>
      </c>
      <c r="G5" s="163" t="inlineStr">
        <is>
          <t>UOM</t>
        </is>
      </c>
      <c r="H5" s="164" t="inlineStr">
        <is>
          <t>Vendors</t>
        </is>
      </c>
      <c r="I5" s="161" t="n"/>
      <c r="J5" s="161" t="n"/>
      <c r="K5" s="161" t="n"/>
      <c r="L5" s="161" t="n"/>
      <c r="M5" s="165" t="n"/>
      <c r="N5" s="18" t="n"/>
    </row>
    <row r="6" ht="33" customHeight="1">
      <c r="A6" s="29" t="n"/>
      <c r="B6" s="166" t="n"/>
      <c r="E6" s="167" t="n"/>
      <c r="F6" s="168" t="n"/>
      <c r="G6" s="168" t="n"/>
      <c r="H6" s="169" t="inlineStr">
        <is>
          <t>UMEDIC</t>
        </is>
      </c>
      <c r="I6" s="170" t="n"/>
      <c r="J6" s="128" t="inlineStr">
        <is>
          <t>AZONIC</t>
        </is>
      </c>
      <c r="K6" s="162" t="n"/>
      <c r="L6" s="171" t="inlineStr">
        <is>
          <t>CERT ACADEMY</t>
        </is>
      </c>
      <c r="M6" s="162" t="n"/>
      <c r="N6" s="18" t="n"/>
    </row>
    <row r="7" ht="15.6" customHeight="1">
      <c r="A7" s="29" t="n"/>
      <c r="B7" s="172" t="n"/>
      <c r="C7" s="173" t="n"/>
      <c r="D7" s="173" t="n"/>
      <c r="E7" s="174" t="n"/>
      <c r="F7" s="175" t="n"/>
      <c r="G7" s="175" t="n"/>
      <c r="H7" s="62" t="inlineStr">
        <is>
          <t xml:space="preserve"> Rate (MYR) </t>
        </is>
      </c>
      <c r="I7" s="52" t="inlineStr">
        <is>
          <t xml:space="preserve"> Amount (MYR) </t>
        </is>
      </c>
      <c r="J7" s="53" t="inlineStr">
        <is>
          <t xml:space="preserve"> Rate (MYR) </t>
        </is>
      </c>
      <c r="K7" s="66" t="inlineStr">
        <is>
          <t xml:space="preserve"> Amount (MYR) </t>
        </is>
      </c>
      <c r="L7" s="84" t="inlineStr">
        <is>
          <t xml:space="preserve"> Rate (MYR) </t>
        </is>
      </c>
      <c r="M7" s="66" t="inlineStr">
        <is>
          <t xml:space="preserve"> Amount (MYR) </t>
        </is>
      </c>
      <c r="N7" s="18" t="n"/>
    </row>
    <row r="8" ht="19.8" customHeight="1">
      <c r="A8" s="96" t="n"/>
      <c r="B8" s="97" t="n">
        <v>1</v>
      </c>
      <c r="C8" s="176" t="inlineStr">
        <is>
          <t>Standard Accessories:
Slim carrying case for HeartStart HS1
Brand / Origin : Philips Healthcare / USA
Code : M5076A
HS1 Adult SMART Pads Cartridge
Brand / Origin : Philips Healthcare / USA
Code : M5071A
Battery for HeartStart HS1 AED
Brand / Origin : Philips Healthcare / USA
Code : M5070A
AED Cabinet c/w alarm and break glass key box
Brand / Origin : Local, Malaysia
AED Wall Sign
Brand / Origin : Local, Malaysia
CPR &amp; AED Poster
Size: A3</t>
        </is>
      </c>
      <c r="D8" s="177" t="n"/>
      <c r="E8" s="178" t="n"/>
      <c r="F8" s="98" t="n">
        <v>1</v>
      </c>
      <c r="G8" s="99" t="inlineStr">
        <is>
          <t>Unit</t>
        </is>
      </c>
      <c r="H8" s="179" t="n">
        <v>6</v>
      </c>
      <c r="I8" s="180" t="n">
        <v>6</v>
      </c>
      <c r="J8" s="179" t="n"/>
      <c r="K8" s="181" t="n"/>
      <c r="L8" s="182" t="n"/>
      <c r="M8" s="181" t="n"/>
      <c r="N8" s="18" t="n"/>
      <c r="O8" s="105" t="n"/>
    </row>
    <row r="9" ht="19.8" customHeight="1">
      <c r="A9" s="132" t="n"/>
      <c r="B9" s="55" t="n">
        <v>2</v>
      </c>
      <c r="C9" s="183" t="inlineStr">
        <is>
          <t>Extracted Total (Please verify PDF for line items)</t>
        </is>
      </c>
      <c r="D9" s="173" t="n"/>
      <c r="E9" s="174" t="n"/>
      <c r="F9" s="93" t="n">
        <v>1</v>
      </c>
      <c r="G9" s="94" t="inlineStr">
        <is>
          <t>Lot</t>
        </is>
      </c>
      <c r="H9" s="184" t="n"/>
      <c r="I9" s="185" t="n"/>
      <c r="J9" s="184" t="n">
        <v>6900</v>
      </c>
      <c r="K9" s="186" t="n">
        <v>6900</v>
      </c>
      <c r="L9" s="187" t="n"/>
      <c r="M9" s="186" t="n"/>
      <c r="N9" s="18" t="n"/>
      <c r="O9" s="105" t="n"/>
      <c r="P9" s="105" t="n"/>
      <c r="Q9" s="105" t="n"/>
      <c r="R9" s="105" t="n"/>
      <c r="S9" s="105" t="n"/>
      <c r="T9" s="105" t="n"/>
      <c r="U9" s="105" t="n"/>
      <c r="V9" s="105" t="n"/>
      <c r="W9" s="105" t="n"/>
    </row>
    <row r="10" ht="19.8" customHeight="1">
      <c r="A10" s="132" t="n"/>
      <c r="B10" s="55" t="n">
        <v>3</v>
      </c>
      <c r="C10" s="155" t="inlineStr">
        <is>
          <t>Primedic HeartSave Y8
▪ Semi-automated
▪ Weight: 2.5kg 22 x 9.7 x 29.6cm (LxWxH)
Comes with:
▪ Pre-installed with 4 Language options in the AED
(Bahasa Malaysia, English, Mandarin, Tamil)
▪ Advanced Technology with higher efficiency delivering shock levels up
to 360J
▪ Warranty for AED Device: 5+3 Years*
*Extra 3 years limited warranty.
▪ 2-in-1 Adult &amp; Children electrode pads and comes together with Real-
time CPR Feedback Sensor device [Lifespan: 5 years]
▪ Battery Lifespan: up to 5 years / 150 shocks
▪ Dust &amp; Water Resistance: IP55
▪ Drop Resistance: 1.6 meter
▪ CPR Kit included
(Safety scissors, disposable hair removing knife, mouth to mouth mask
&amp; disposable latex glove)
▪ Adaptive volume output for hearing instructions clearly even in noisy
environments
▪ Automatic daily self-test for a peace of mind and cost saving
▪ Latest AHA-2025 guidelines compliant
*E xtra 3 years limited warranty
*Delivery within the Klang Valley (KV) is free of charge. Deliveries outside the KV
area (West Malaysia and East Malaysia) will incur additional fees</t>
        </is>
      </c>
      <c r="D10" s="155" t="n"/>
      <c r="E10" s="155" t="n"/>
      <c r="F10" s="102" t="n">
        <v>1</v>
      </c>
      <c r="G10" s="103" t="inlineStr">
        <is>
          <t>Unit</t>
        </is>
      </c>
      <c r="H10" s="184" t="n"/>
      <c r="I10" s="185" t="n"/>
      <c r="J10" s="188" t="n"/>
      <c r="K10" s="186" t="n"/>
      <c r="L10" s="187" t="n">
        <v>10000</v>
      </c>
      <c r="M10" s="186" t="n">
        <v>10000</v>
      </c>
      <c r="N10" s="18" t="n"/>
      <c r="O10" s="105" t="n"/>
      <c r="P10" s="105" t="n"/>
      <c r="Q10" s="105" t="n"/>
      <c r="R10" s="105" t="n"/>
      <c r="S10" s="105" t="n"/>
      <c r="T10" s="105" t="n"/>
      <c r="U10" s="105" t="n"/>
      <c r="V10" s="105" t="n"/>
      <c r="W10" s="105" t="n"/>
    </row>
    <row r="11" ht="19.8" customHeight="1">
      <c r="A11" s="96" t="n"/>
      <c r="B11" s="97" t="n"/>
      <c r="C11" s="176" t="inlineStr">
        <is>
          <t>CPR &amp; AED Physical Awareness Training Included (Within Klang
Valley ONLY)
*3 0 pax per session.
*Certificate of Achievement for company will be provided.
*Travelling or outstation charges will be applicable for locations outside Klang Valley</t>
        </is>
      </c>
      <c r="D11" s="177" t="n"/>
      <c r="E11" s="178" t="n"/>
      <c r="F11" s="98" t="n">
        <v>1</v>
      </c>
      <c r="G11" s="99" t="inlineStr">
        <is>
          <t>Unit</t>
        </is>
      </c>
      <c r="H11" s="179" t="n"/>
      <c r="I11" s="180" t="n"/>
      <c r="J11" s="179" t="n"/>
      <c r="K11" s="181" t="n"/>
      <c r="L11" s="182" t="n">
        <v>3000</v>
      </c>
      <c r="M11" s="181" t="n">
        <v>3000</v>
      </c>
      <c r="N11" s="18" t="n"/>
      <c r="O11" s="105" t="n"/>
    </row>
    <row r="12" ht="19.8" customHeight="1">
      <c r="A12" s="132" t="n"/>
      <c r="B12" s="55" t="n"/>
      <c r="C12" s="183" t="inlineStr">
        <is>
          <t>C PR &amp; AED Interactive Video Briefing</t>
        </is>
      </c>
      <c r="D12" s="173" t="n"/>
      <c r="E12" s="174" t="n"/>
      <c r="F12" s="93" t="n">
        <v>1</v>
      </c>
      <c r="G12" s="94" t="inlineStr">
        <is>
          <t>Unit</t>
        </is>
      </c>
      <c r="H12" s="184" t="n"/>
      <c r="I12" s="185" t="n"/>
      <c r="J12" s="184" t="n"/>
      <c r="K12" s="186" t="n"/>
      <c r="L12" s="187" t="n">
        <v>1500</v>
      </c>
      <c r="M12" s="186" t="n">
        <v>1500</v>
      </c>
      <c r="N12" s="18" t="n"/>
      <c r="O12" s="105" t="n"/>
    </row>
    <row r="13" ht="19.8" customHeight="1">
      <c r="A13" s="132" t="n"/>
      <c r="B13" s="55" t="n"/>
      <c r="C13" s="155" t="inlineStr">
        <is>
          <t>FREE 10 Years Basic Occupational First Aid CPR &amp; AED Training
Public Class (For 3 Times Renewal COMPETENCY Certification)
*Applicable for SHO or Safety Personnel</t>
        </is>
      </c>
      <c r="D13" s="173" t="n"/>
      <c r="E13" s="173" t="n"/>
      <c r="F13" s="102" t="n">
        <v>1</v>
      </c>
      <c r="G13" s="103" t="inlineStr">
        <is>
          <t>Unit</t>
        </is>
      </c>
      <c r="H13" s="184" t="n"/>
      <c r="I13" s="185" t="n"/>
      <c r="J13" s="188" t="n"/>
      <c r="K13" s="186" t="n"/>
      <c r="L13" s="187" t="n">
        <v>3000</v>
      </c>
      <c r="M13" s="186" t="n">
        <v>3000</v>
      </c>
      <c r="N13" s="18" t="n"/>
      <c r="O13" s="105" t="n"/>
    </row>
    <row r="14" ht="19.8" customHeight="1">
      <c r="A14" s="96" t="n"/>
      <c r="B14" s="97" t="n"/>
      <c r="C14" s="176" t="inlineStr">
        <is>
          <t>F REE AED Pad Program
*If your Primedic HeartSave AED is used in a workplace SCA, we’ll provide a FREE PAD
replacement within 5 years</t>
        </is>
      </c>
      <c r="D14" s="177" t="n"/>
      <c r="E14" s="178" t="n"/>
      <c r="F14" s="98" t="n">
        <v>1</v>
      </c>
      <c r="G14" s="99" t="inlineStr">
        <is>
          <t>Unit</t>
        </is>
      </c>
      <c r="H14" s="179" t="n"/>
      <c r="I14" s="180" t="n"/>
      <c r="J14" s="179" t="n"/>
      <c r="K14" s="181" t="n"/>
      <c r="L14" s="182" t="n">
        <v>1000</v>
      </c>
      <c r="M14" s="181" t="n">
        <v>1000</v>
      </c>
      <c r="N14" s="18" t="n"/>
      <c r="O14" s="105" t="n"/>
    </row>
    <row r="15" ht="19.8" customHeight="1">
      <c r="A15" s="132" t="n"/>
      <c r="B15" s="55" t="n"/>
      <c r="C15" s="183" t="inlineStr">
        <is>
          <t>CERT Heartbeat Program
*We will give a FREE AED device to SCA survivors saved by a Primedic Yuwell AED, which
they can donate to any organization to help save more lives</t>
        </is>
      </c>
      <c r="D15" s="173" t="n"/>
      <c r="E15" s="174" t="n"/>
      <c r="F15" s="93" t="n">
        <v>1</v>
      </c>
      <c r="G15" s="94" t="inlineStr">
        <is>
          <t>Unit</t>
        </is>
      </c>
      <c r="H15" s="184" t="n"/>
      <c r="I15" s="185" t="n"/>
      <c r="J15" s="184" t="n"/>
      <c r="K15" s="186" t="n"/>
      <c r="L15" s="187" t="n">
        <v>10000</v>
      </c>
      <c r="M15" s="186" t="n">
        <v>10000</v>
      </c>
      <c r="N15" s="18" t="n"/>
      <c r="O15" s="105" t="n"/>
    </row>
    <row r="16" ht="19.8" customHeight="1">
      <c r="A16" s="132" t="n"/>
      <c r="B16" s="55" t="n"/>
      <c r="C16" s="155" t="inlineStr">
        <is>
          <t>CPR Poster
AED Poster</t>
        </is>
      </c>
      <c r="D16" s="173" t="n"/>
      <c r="E16" s="173" t="n"/>
      <c r="F16" s="102" t="n">
        <v>2</v>
      </c>
      <c r="G16" s="103" t="inlineStr">
        <is>
          <t>Unit</t>
        </is>
      </c>
      <c r="H16" s="184" t="n"/>
      <c r="I16" s="185" t="n"/>
      <c r="J16" s="188" t="n"/>
      <c r="K16" s="186" t="n"/>
      <c r="L16" s="187" t="n">
        <v>100</v>
      </c>
      <c r="M16" s="186" t="n">
        <v>200</v>
      </c>
      <c r="N16" s="18" t="n"/>
      <c r="O16" s="105" t="n"/>
    </row>
    <row r="17" ht="19.8" customHeight="1">
      <c r="A17" s="96" t="n"/>
      <c r="B17" s="97" t="n"/>
      <c r="C17" s="176" t="inlineStr">
        <is>
          <t>CPR Card
AED Card</t>
        </is>
      </c>
      <c r="D17" s="177" t="n"/>
      <c r="E17" s="178" t="n"/>
      <c r="F17" s="98" t="n">
        <v>5</v>
      </c>
      <c r="G17" s="99" t="inlineStr">
        <is>
          <t>Unit</t>
        </is>
      </c>
      <c r="H17" s="179" t="n"/>
      <c r="I17" s="180" t="n"/>
      <c r="J17" s="179" t="n"/>
      <c r="K17" s="181" t="n"/>
      <c r="L17" s="182" t="n">
        <v>25</v>
      </c>
      <c r="M17" s="181" t="n">
        <v>125</v>
      </c>
      <c r="N17" s="18" t="n"/>
      <c r="O17" s="105" t="n"/>
    </row>
    <row r="18" ht="19.8" customHeight="1">
      <c r="A18" s="132" t="n"/>
      <c r="B18" s="55" t="n"/>
      <c r="C18" s="183" t="inlineStr">
        <is>
          <t>Wall mounted AED Cabinet
- 1 key installed inside the break glass compartment
- Siren with strobe (come with energizer 9v battery)
- Door sensor</t>
        </is>
      </c>
      <c r="D18" s="173" t="n"/>
      <c r="E18" s="174" t="n"/>
      <c r="F18" s="93" t="n">
        <v>1</v>
      </c>
      <c r="G18" s="94" t="inlineStr">
        <is>
          <t>Unit</t>
        </is>
      </c>
      <c r="H18" s="184" t="n"/>
      <c r="I18" s="185" t="n"/>
      <c r="J18" s="184" t="n"/>
      <c r="K18" s="186" t="n"/>
      <c r="L18" s="187" t="n">
        <v>650</v>
      </c>
      <c r="M18" s="186" t="n">
        <v>650</v>
      </c>
      <c r="N18" s="18" t="n"/>
      <c r="O18" s="105" t="n"/>
    </row>
    <row r="19" ht="19.8" customHeight="1">
      <c r="A19" s="132" t="n"/>
      <c r="B19" s="55" t="n"/>
      <c r="C19" s="155" t="inlineStr">
        <is>
          <t>AED signage
- Size: 19(L) x 20(W) x 20(H) cm</t>
        </is>
      </c>
      <c r="D19" s="173" t="n"/>
      <c r="E19" s="173" t="n"/>
      <c r="F19" s="102" t="n">
        <v>1</v>
      </c>
      <c r="G19" s="103" t="inlineStr">
        <is>
          <t>Unit</t>
        </is>
      </c>
      <c r="H19" s="184" t="n"/>
      <c r="I19" s="185" t="n"/>
      <c r="J19" s="188" t="n"/>
      <c r="K19" s="186" t="n"/>
      <c r="L19" s="187" t="n">
        <v>75</v>
      </c>
      <c r="M19" s="186" t="n">
        <v>75</v>
      </c>
      <c r="N19" s="18" t="n"/>
      <c r="O19" s="105" t="n"/>
    </row>
    <row r="20" ht="19.8" customHeight="1">
      <c r="A20" s="96" t="n"/>
      <c r="B20" s="97" t="n"/>
      <c r="C20" s="176" t="inlineStr">
        <is>
          <t>Delivery &amp; Insurance Charges</t>
        </is>
      </c>
      <c r="D20" s="177" t="n"/>
      <c r="E20" s="178" t="n"/>
      <c r="F20" s="98" t="n">
        <v>1</v>
      </c>
      <c r="G20" s="99" t="inlineStr">
        <is>
          <t>Unit</t>
        </is>
      </c>
      <c r="H20" s="179" t="n"/>
      <c r="I20" s="180" t="n"/>
      <c r="J20" s="179" t="n"/>
      <c r="K20" s="181" t="n"/>
      <c r="L20" s="182" t="n">
        <v>164</v>
      </c>
      <c r="M20" s="181" t="n">
        <v>164</v>
      </c>
      <c r="N20" s="18" t="n"/>
      <c r="O20" s="105" t="n"/>
    </row>
    <row r="21" ht="19.8" customHeight="1">
      <c r="A21" s="132" t="n"/>
      <c r="B21" s="55" t="n"/>
      <c r="C21" s="183" t="inlineStr">
        <is>
          <t>Wall mounted AED Cabinet
- 1 key installed inside the break glass compartment
- Siren with strobe (come with energizer 9v battery)
- Door sensor</t>
        </is>
      </c>
      <c r="D21" s="173" t="n"/>
      <c r="E21" s="174" t="n"/>
      <c r="F21" s="93" t="n">
        <v>1</v>
      </c>
      <c r="G21" s="94" t="inlineStr">
        <is>
          <t>Unit</t>
        </is>
      </c>
      <c r="H21" s="184" t="n"/>
      <c r="I21" s="185" t="n"/>
      <c r="J21" s="184" t="n"/>
      <c r="K21" s="186" t="n"/>
      <c r="L21" s="187" t="n">
        <v>650</v>
      </c>
      <c r="M21" s="186" t="n">
        <v>650</v>
      </c>
      <c r="N21" s="18" t="n"/>
      <c r="O21" s="105" t="n"/>
    </row>
    <row r="22" ht="19.8" customHeight="1">
      <c r="A22" s="132" t="n"/>
      <c r="B22" s="55" t="n"/>
      <c r="C22" s="155" t="inlineStr">
        <is>
          <t>AED signage
- Size: 19(L) x 20(W) x 20(H) cm</t>
        </is>
      </c>
      <c r="D22" s="173" t="n"/>
      <c r="E22" s="173" t="n"/>
      <c r="F22" s="102" t="n">
        <v>1</v>
      </c>
      <c r="G22" s="103" t="inlineStr">
        <is>
          <t>Unit</t>
        </is>
      </c>
      <c r="H22" s="184" t="n"/>
      <c r="I22" s="185" t="n"/>
      <c r="J22" s="188" t="n"/>
      <c r="K22" s="186" t="n"/>
      <c r="L22" s="187" t="n">
        <v>75</v>
      </c>
      <c r="M22" s="186" t="n">
        <v>75</v>
      </c>
      <c r="N22" s="18" t="n"/>
      <c r="O22" s="105" t="n"/>
    </row>
    <row r="23" ht="19.8" customHeight="1">
      <c r="A23" s="96" t="n"/>
      <c r="B23" s="97" t="n"/>
      <c r="C23" s="176" t="inlineStr">
        <is>
          <t>Installation of AED Cabinet (Klang Valley)
- Mounting of the cabinet to a suitable wall location &amp; AED
placement recommendation
- Testing of the AED Cabinet to ensure proper functionally
- Demonstration of how to use the AED Cabinet
*Price varies for installation outside Klang Valley
*Subject to terms &amp; conditions agreed between CERT Academy &amp; client</t>
        </is>
      </c>
      <c r="D23" s="177" t="n"/>
      <c r="E23" s="178" t="n"/>
      <c r="F23" s="98" t="n">
        <v>1</v>
      </c>
      <c r="G23" s="99" t="inlineStr">
        <is>
          <t>Unit</t>
        </is>
      </c>
      <c r="H23" s="179" t="n"/>
      <c r="I23" s="180" t="n"/>
      <c r="J23" s="179" t="n"/>
      <c r="K23" s="181" t="n"/>
      <c r="L23" s="182" t="n">
        <v>500</v>
      </c>
      <c r="M23" s="181" t="n">
        <v>500</v>
      </c>
      <c r="N23" s="18" t="n"/>
      <c r="O23" s="105" t="n"/>
    </row>
    <row r="24" ht="19.8" customHeight="1">
      <c r="A24" s="132" t="n"/>
      <c r="B24" s="55" t="n"/>
      <c r="C24" s="183" t="inlineStr">
        <is>
          <t>Electrode pad (with CPR Sensor) (5 years shelf-life)</t>
        </is>
      </c>
      <c r="D24" s="173" t="n"/>
      <c r="E24" s="174" t="n"/>
      <c r="F24" s="93" t="n">
        <v>1</v>
      </c>
      <c r="G24" s="94" t="inlineStr">
        <is>
          <t>Unit</t>
        </is>
      </c>
      <c r="H24" s="184" t="n"/>
      <c r="I24" s="185" t="n"/>
      <c r="J24" s="184" t="n"/>
      <c r="K24" s="186" t="n"/>
      <c r="L24" s="187" t="n">
        <v>1000</v>
      </c>
      <c r="M24" s="186" t="n">
        <v>1000</v>
      </c>
      <c r="N24" s="18" t="n"/>
      <c r="O24" s="105" t="n"/>
    </row>
    <row r="25" ht="19.8" customFormat="1" customHeight="1" s="4">
      <c r="A25" s="132" t="n"/>
      <c r="B25" s="55" t="n"/>
      <c r="C25" s="155" t="inlineStr">
        <is>
          <t>Disposable Battery (5 Years shelf-life)</t>
        </is>
      </c>
      <c r="D25" s="173" t="n"/>
      <c r="E25" s="173" t="n"/>
      <c r="F25" s="102" t="n">
        <v>1</v>
      </c>
      <c r="G25" s="103" t="inlineStr">
        <is>
          <t>Unit</t>
        </is>
      </c>
      <c r="H25" s="184" t="n"/>
      <c r="I25" s="185" t="n"/>
      <c r="J25" s="188" t="n"/>
      <c r="K25" s="186" t="n"/>
      <c r="L25" s="187" t="n">
        <v>1420</v>
      </c>
      <c r="M25" s="186" t="n">
        <v>1420</v>
      </c>
      <c r="N25" s="18" t="n"/>
      <c r="O25" s="105" t="n"/>
    </row>
    <row r="26" ht="19.8" customFormat="1" customHeight="1" s="4">
      <c r="A26" s="96" t="n"/>
      <c r="B26" s="97" t="n"/>
      <c r="C26" s="176" t="inlineStr">
        <is>
          <t>CPR &amp; AED Training Course with Certificate
(HRDCorp Claimable)
Course Date : TBC
Course Duration : 1 day (9.00 am - 5.00 pm)
Course Venue : In – House (Klang Valley)</t>
        </is>
      </c>
      <c r="D26" s="177" t="n"/>
      <c r="E26" s="178" t="n"/>
      <c r="F26" s="98" t="n">
        <v>1</v>
      </c>
      <c r="G26" s="99" t="inlineStr">
        <is>
          <t>Unit</t>
        </is>
      </c>
      <c r="H26" s="179" t="n"/>
      <c r="I26" s="180" t="n"/>
      <c r="J26" s="179" t="n"/>
      <c r="K26" s="181" t="n"/>
      <c r="L26" s="182" t="n">
        <v>3900</v>
      </c>
      <c r="M26" s="181" t="n">
        <v>3900</v>
      </c>
      <c r="N26" s="18" t="n"/>
      <c r="O26" s="105" t="n"/>
    </row>
    <row r="27" ht="19.8" customFormat="1" customHeight="1" s="4">
      <c r="A27" s="132" t="n"/>
      <c r="B27" s="55" t="n"/>
      <c r="C27" s="183" t="inlineStr">
        <is>
          <t>Annual AED Care Program (Valid for Klang Valley)
An annual inspection by CERT team to ensure the AED is functioning
properly.
1. Physical inspection of the AEDs to check for damages or faulty.
2. Perform diagnostic test on the AEDs.
3. Review the AED memory to assess if there is any uncleared
memory.
4. Check the condition of the AED Cabinet (if applicable).
5. Debrief to the first aid team or personnel in charge on results of
inspection and issue/problem(s) discovered.
6. AED briefing to the newly appointed first aider or person-in-charge
of AED.
7. Upgrading AHA guideline to the device when available.
8. Download the data once AED has been activated by the company.
***Note:
Option 1:
- 1 Year - Make payment on a yearly basis
Option 2:
- 5 years - Make payment for 5 years together to entitle
FREE Pad + Battery worth RM 2,420.00</t>
        </is>
      </c>
      <c r="D27" s="173" t="n"/>
      <c r="E27" s="174" t="n"/>
      <c r="F27" s="93" t="n">
        <v>1</v>
      </c>
      <c r="G27" s="94" t="inlineStr">
        <is>
          <t>Unit</t>
        </is>
      </c>
      <c r="H27" s="184" t="n"/>
      <c r="I27" s="185" t="n"/>
      <c r="J27" s="184" t="n"/>
      <c r="K27" s="186" t="n"/>
      <c r="L27" s="187" t="n">
        <v>850</v>
      </c>
      <c r="M27" s="186" t="n">
        <v>850</v>
      </c>
      <c r="N27" s="18" t="n"/>
      <c r="O27" s="105" t="n"/>
    </row>
    <row r="28" ht="19.8" customFormat="1" customHeight="1" s="4">
      <c r="A28" s="132" t="n"/>
      <c r="B28" s="55" t="n"/>
      <c r="C28" s="155" t="inlineStr">
        <is>
          <t>FREE AED Pad Program</t>
        </is>
      </c>
      <c r="D28" s="173" t="n"/>
      <c r="E28" s="173" t="n"/>
      <c r="F28" s="102" t="n">
        <v>1</v>
      </c>
      <c r="G28" s="103" t="inlineStr">
        <is>
          <t>Unit</t>
        </is>
      </c>
      <c r="H28" s="184" t="n"/>
      <c r="I28" s="185" t="n"/>
      <c r="J28" s="188" t="n"/>
      <c r="K28" s="186" t="n"/>
      <c r="L28" s="187" t="n">
        <v>0</v>
      </c>
      <c r="M28" s="186" t="n">
        <v>0</v>
      </c>
      <c r="N28" s="18" t="n"/>
      <c r="O28" s="105" t="n"/>
    </row>
    <row r="29" ht="19.8" customFormat="1" customHeight="1" s="4">
      <c r="A29" s="96" t="n"/>
      <c r="B29" s="97" t="n"/>
      <c r="C29" s="176" t="inlineStr">
        <is>
          <t>CERT Heartbeat Program</t>
        </is>
      </c>
      <c r="D29" s="177" t="n"/>
      <c r="E29" s="178" t="n"/>
      <c r="F29" s="98" t="n">
        <v>1</v>
      </c>
      <c r="G29" s="99" t="inlineStr">
        <is>
          <t>Unit</t>
        </is>
      </c>
      <c r="H29" s="179" t="n"/>
      <c r="I29" s="180" t="n"/>
      <c r="J29" s="179" t="n"/>
      <c r="K29" s="181" t="n"/>
      <c r="L29" s="182" t="n">
        <v>0</v>
      </c>
      <c r="M29" s="181" t="n">
        <v>0</v>
      </c>
      <c r="N29" s="18" t="n"/>
      <c r="O29" s="105" t="n"/>
    </row>
    <row r="30" ht="18" customFormat="1" customHeight="1" s="5">
      <c r="A30" s="29" t="n"/>
      <c r="B30" s="56" t="inlineStr">
        <is>
          <t>A</t>
        </is>
      </c>
      <c r="C30" s="34" t="inlineStr">
        <is>
          <t> </t>
        </is>
      </c>
      <c r="D30" s="35" t="inlineStr">
        <is>
          <t> </t>
        </is>
      </c>
      <c r="E30" s="12" t="n"/>
      <c r="F30" s="11" t="n"/>
      <c r="G30" s="11" t="inlineStr">
        <is>
          <t>Total Value Excluded Tax</t>
        </is>
      </c>
      <c r="H30" s="68" t="n"/>
      <c r="I30" s="45">
        <f>SUM(I8:I10)</f>
        <v/>
      </c>
      <c r="J30" s="37" t="n"/>
      <c r="K30" s="45">
        <f>SUM(K8:K10)</f>
        <v/>
      </c>
      <c r="L30" s="72" t="n"/>
      <c r="M30" s="45">
        <f>SUM(M8:M10)</f>
        <v/>
      </c>
      <c r="N30" s="189" t="n"/>
      <c r="O30" s="105" t="n"/>
    </row>
    <row r="31" ht="15" customHeight="1">
      <c r="A31" s="29" t="n"/>
      <c r="B31" s="56" t="inlineStr">
        <is>
          <t>B</t>
        </is>
      </c>
      <c r="C31" s="34" t="inlineStr">
        <is>
          <t> </t>
        </is>
      </c>
      <c r="D31" s="35" t="inlineStr">
        <is>
          <t> </t>
        </is>
      </c>
      <c r="E31" s="6" t="n"/>
      <c r="F31" s="7" t="inlineStr">
        <is>
          <t xml:space="preserve">Sales &amp; Service Tax </t>
        </is>
      </c>
      <c r="G31" s="19" t="n">
        <v>0.08</v>
      </c>
      <c r="H31" s="68" t="n"/>
      <c r="I31" s="69">
        <f>I11*0.08</f>
        <v/>
      </c>
      <c r="J31" s="37" t="n"/>
      <c r="K31" s="69">
        <f>K11*0.08</f>
        <v/>
      </c>
      <c r="L31" s="72" t="n"/>
      <c r="M31" s="69">
        <f>M11*0.08</f>
        <v/>
      </c>
      <c r="N31" s="189" t="n"/>
      <c r="P31" s="3" t="n"/>
    </row>
    <row r="32" ht="17.4" customHeight="1">
      <c r="A32" s="29" t="n"/>
      <c r="B32" s="56" t="inlineStr">
        <is>
          <t>C</t>
        </is>
      </c>
      <c r="C32" s="34" t="inlineStr">
        <is>
          <t> </t>
        </is>
      </c>
      <c r="D32" s="35" t="inlineStr">
        <is>
          <t> </t>
        </is>
      </c>
      <c r="E32" s="6" t="n"/>
      <c r="F32" s="7" t="n"/>
      <c r="G32" s="7" t="inlineStr">
        <is>
          <t>Total Value Included Tax</t>
        </is>
      </c>
      <c r="H32" s="68" t="n"/>
      <c r="I32" s="45">
        <f>I11+I12</f>
        <v/>
      </c>
      <c r="J32" s="37" t="n"/>
      <c r="K32" s="45">
        <f>K11+K12</f>
        <v/>
      </c>
      <c r="L32" s="72" t="n"/>
      <c r="M32" s="45">
        <f>M11+M12</f>
        <v/>
      </c>
      <c r="N32" s="189" t="n"/>
      <c r="P32" s="3" t="n"/>
    </row>
    <row r="33">
      <c r="A33" s="29" t="n"/>
      <c r="B33" s="56" t="inlineStr">
        <is>
          <t>D</t>
        </is>
      </c>
      <c r="C33" s="34" t="inlineStr">
        <is>
          <t> </t>
        </is>
      </c>
      <c r="D33" s="35" t="inlineStr">
        <is>
          <t> </t>
        </is>
      </c>
      <c r="E33" s="12" t="n"/>
      <c r="F33" s="20" t="n"/>
      <c r="G33" s="7" t="inlineStr">
        <is>
          <t>Price comparison between lowest value</t>
        </is>
      </c>
      <c r="H33" s="70" t="n"/>
      <c r="I33" s="157" t="inlineStr">
        <is>
          <t>BASE</t>
        </is>
      </c>
      <c r="J33" s="37" t="n"/>
      <c r="K33" s="61" t="n"/>
      <c r="L33" s="71" t="n"/>
      <c r="M33" s="85" t="n"/>
      <c r="N33" s="189" t="n"/>
      <c r="P33" s="3" t="n"/>
    </row>
    <row r="34">
      <c r="A34" s="29" t="n"/>
      <c r="B34" s="56" t="inlineStr">
        <is>
          <t>E</t>
        </is>
      </c>
      <c r="C34" s="34" t="inlineStr">
        <is>
          <t> </t>
        </is>
      </c>
      <c r="D34" s="35" t="inlineStr">
        <is>
          <t> </t>
        </is>
      </c>
      <c r="E34" s="12" t="n"/>
      <c r="F34" s="20" t="n"/>
      <c r="G34" s="7" t="inlineStr">
        <is>
          <t>Price comparison between lowest %</t>
        </is>
      </c>
      <c r="H34" s="70" t="n"/>
      <c r="I34" s="158" t="inlineStr">
        <is>
          <t>BASE</t>
        </is>
      </c>
      <c r="J34" s="37" t="n"/>
      <c r="K34" s="67" t="n"/>
      <c r="L34" s="71" t="n"/>
      <c r="M34" s="86" t="n"/>
      <c r="N34" s="189" t="n"/>
      <c r="P34" s="3" t="n"/>
    </row>
    <row r="35">
      <c r="A35" s="29" t="n"/>
      <c r="B35" s="56" t="inlineStr">
        <is>
          <t>i</t>
        </is>
      </c>
      <c r="C35" s="36" t="inlineStr">
        <is>
          <t>Payment term</t>
        </is>
      </c>
      <c r="D35" s="37" t="inlineStr">
        <is>
          <t> </t>
        </is>
      </c>
      <c r="E35" s="37" t="inlineStr">
        <is>
          <t> </t>
        </is>
      </c>
      <c r="F35" s="36" t="inlineStr">
        <is>
          <t> </t>
        </is>
      </c>
      <c r="G35" s="34" t="inlineStr">
        <is>
          <t> </t>
        </is>
      </c>
      <c r="H35" s="190" t="inlineStr">
        <is>
          <t>Cash</t>
        </is>
      </c>
      <c r="I35" s="191" t="n"/>
      <c r="J35" s="147" t="inlineStr">
        <is>
          <t>30 days</t>
        </is>
      </c>
      <c r="K35" s="177" t="n"/>
      <c r="L35" s="97" t="inlineStr">
        <is>
          <t>30 Days</t>
        </is>
      </c>
      <c r="M35" s="178" t="n"/>
      <c r="N35" s="18" t="n"/>
      <c r="P35" s="3" t="n"/>
    </row>
    <row r="36">
      <c r="A36" s="29" t="n"/>
      <c r="B36" s="56" t="inlineStr">
        <is>
          <t>iii</t>
        </is>
      </c>
      <c r="C36" s="36" t="inlineStr">
        <is>
          <t>Delivery Period</t>
        </is>
      </c>
      <c r="D36" s="37" t="inlineStr">
        <is>
          <t> </t>
        </is>
      </c>
      <c r="E36" s="37" t="inlineStr">
        <is>
          <t> </t>
        </is>
      </c>
      <c r="F36" s="36" t="inlineStr">
        <is>
          <t> </t>
        </is>
      </c>
      <c r="G36" s="34" t="inlineStr">
        <is>
          <t> </t>
        </is>
      </c>
      <c r="H36" s="190" t="inlineStr">
        <is>
          <t>6 - 12 weeks</t>
        </is>
      </c>
      <c r="I36" s="191" t="n"/>
      <c r="J36" s="147" t="inlineStr">
        <is>
          <t>4-6 weeks</t>
        </is>
      </c>
      <c r="K36" s="177" t="n"/>
      <c r="L36" s="97" t="inlineStr">
        <is>
          <t>N/A</t>
        </is>
      </c>
      <c r="M36" s="178" t="n"/>
      <c r="N36" s="18" t="n"/>
      <c r="P36" s="3" t="n"/>
    </row>
    <row r="37">
      <c r="A37" s="29" t="n"/>
      <c r="B37" s="56" t="inlineStr">
        <is>
          <t>iii</t>
        </is>
      </c>
      <c r="C37" s="36" t="inlineStr">
        <is>
          <t>Quotation reference no.</t>
        </is>
      </c>
      <c r="D37" s="37" t="inlineStr">
        <is>
          <t> </t>
        </is>
      </c>
      <c r="E37" s="37" t="inlineStr">
        <is>
          <t> </t>
        </is>
      </c>
      <c r="F37" s="36" t="inlineStr">
        <is>
          <t> </t>
        </is>
      </c>
      <c r="G37" s="34" t="inlineStr">
        <is>
          <t> </t>
        </is>
      </c>
      <c r="H37" s="192" t="inlineStr">
        <is>
          <t>260206/RM/LSE/1/HK</t>
        </is>
      </c>
      <c r="I37" s="193" t="n"/>
      <c r="J37" s="150" t="inlineStr">
        <is>
          <t>LEA/0004/2026</t>
        </is>
      </c>
      <c r="K37" s="194" t="n"/>
      <c r="L37" s="195" t="inlineStr">
        <is>
          <t>Q/069(RV2)/26-SHD</t>
        </is>
      </c>
      <c r="M37" s="178" t="n"/>
      <c r="N37" s="18" t="n"/>
      <c r="P37" s="3" t="n"/>
    </row>
    <row r="38">
      <c r="A38" s="132" t="n"/>
      <c r="B38" s="57" t="inlineStr">
        <is>
          <t>F</t>
        </is>
      </c>
      <c r="C38" s="130" t="inlineStr">
        <is>
          <t>Procurement Recommendation</t>
        </is>
      </c>
      <c r="D38" s="161" t="n"/>
      <c r="E38" s="161" t="n"/>
      <c r="F38" s="161" t="n"/>
      <c r="G38" s="161" t="n"/>
      <c r="H38" s="46" t="inlineStr">
        <is>
          <t> </t>
        </is>
      </c>
      <c r="I38" s="47" t="inlineStr">
        <is>
          <t> </t>
        </is>
      </c>
      <c r="J38" s="49" t="inlineStr">
        <is>
          <t> </t>
        </is>
      </c>
      <c r="K38" s="48" t="inlineStr">
        <is>
          <t> </t>
        </is>
      </c>
      <c r="L38" s="38" t="inlineStr">
        <is>
          <t> </t>
        </is>
      </c>
      <c r="M38" s="65" t="inlineStr">
        <is>
          <t> </t>
        </is>
      </c>
      <c r="N38" s="18" t="n"/>
      <c r="P38" s="3" t="n"/>
    </row>
    <row r="39">
      <c r="B39" s="57" t="inlineStr">
        <is>
          <t> </t>
        </is>
      </c>
      <c r="C39" s="196" t="n"/>
      <c r="D39" s="173" t="n"/>
      <c r="E39" s="173" t="n"/>
      <c r="F39" s="173" t="n"/>
      <c r="G39" s="173" t="n"/>
      <c r="H39" s="173" t="n"/>
      <c r="I39" s="173" t="n"/>
      <c r="J39" s="173" t="n"/>
      <c r="K39" s="173" t="n"/>
      <c r="L39" s="173" t="n"/>
      <c r="M39" s="174" t="n"/>
      <c r="N39" s="18" t="n"/>
    </row>
    <row r="40">
      <c r="A40" s="29" t="n"/>
      <c r="B40" s="58" t="inlineStr">
        <is>
          <t>G</t>
        </is>
      </c>
      <c r="C40" s="54" t="inlineStr">
        <is>
          <t>End User Assessment and Recommendation</t>
        </is>
      </c>
      <c r="D40" s="39" t="n"/>
      <c r="E40" s="39" t="inlineStr">
        <is>
          <t> </t>
        </is>
      </c>
      <c r="F40" s="40" t="inlineStr">
        <is>
          <t> </t>
        </is>
      </c>
      <c r="G40" s="40" t="inlineStr">
        <is>
          <t> </t>
        </is>
      </c>
      <c r="H40" s="40" t="inlineStr">
        <is>
          <t> </t>
        </is>
      </c>
      <c r="I40" s="40" t="inlineStr">
        <is>
          <t> </t>
        </is>
      </c>
      <c r="J40" s="40" t="inlineStr">
        <is>
          <t> </t>
        </is>
      </c>
      <c r="K40" s="40" t="inlineStr">
        <is>
          <t> </t>
        </is>
      </c>
      <c r="L40" s="41" t="inlineStr">
        <is>
          <t> </t>
        </is>
      </c>
      <c r="M40" s="42" t="inlineStr">
        <is>
          <t> </t>
        </is>
      </c>
      <c r="N40" s="18" t="n"/>
    </row>
    <row r="41">
      <c r="A41" s="29" t="n"/>
      <c r="B41" s="59" t="inlineStr">
        <is>
          <t> </t>
        </is>
      </c>
      <c r="C41" s="137" t="inlineStr">
        <is>
          <t> </t>
        </is>
      </c>
      <c r="D41" s="173" t="n"/>
      <c r="E41" s="173" t="n"/>
      <c r="F41" s="173" t="n"/>
      <c r="G41" s="173" t="n"/>
      <c r="H41" s="173" t="n"/>
      <c r="I41" s="173" t="n"/>
      <c r="J41" s="173" t="n"/>
      <c r="K41" s="173" t="n"/>
      <c r="L41" s="173" t="n"/>
      <c r="M41" s="197" t="n"/>
      <c r="N41" s="18" t="n"/>
    </row>
    <row r="42">
      <c r="A42" s="29" t="n"/>
      <c r="B42" s="57" t="inlineStr">
        <is>
          <t>H</t>
        </is>
      </c>
      <c r="C42" s="41" t="inlineStr">
        <is>
          <t>Conclusion</t>
        </is>
      </c>
      <c r="D42" s="38" t="inlineStr">
        <is>
          <t> </t>
        </is>
      </c>
      <c r="E42" s="38" t="inlineStr">
        <is>
          <t> </t>
        </is>
      </c>
      <c r="F42" s="41" t="inlineStr">
        <is>
          <t> </t>
        </is>
      </c>
      <c r="G42" s="41" t="inlineStr">
        <is>
          <t> </t>
        </is>
      </c>
      <c r="H42" s="41" t="inlineStr">
        <is>
          <t> </t>
        </is>
      </c>
      <c r="I42" s="41" t="inlineStr">
        <is>
          <t> </t>
        </is>
      </c>
      <c r="J42" s="41" t="inlineStr">
        <is>
          <t> </t>
        </is>
      </c>
      <c r="K42" s="41" t="inlineStr">
        <is>
          <t> </t>
        </is>
      </c>
      <c r="L42" s="41" t="inlineStr">
        <is>
          <t> </t>
        </is>
      </c>
      <c r="M42" s="42" t="inlineStr">
        <is>
          <t> </t>
        </is>
      </c>
      <c r="N42" s="18" t="n"/>
    </row>
    <row r="43">
      <c r="A43" s="29" t="n"/>
      <c r="B43" s="60" t="inlineStr">
        <is>
          <t> </t>
        </is>
      </c>
      <c r="C43" s="139" t="n"/>
      <c r="D43" s="173" t="n"/>
      <c r="E43" s="173" t="n"/>
      <c r="F43" s="173" t="n"/>
      <c r="G43" s="173" t="n"/>
      <c r="H43" s="173" t="n"/>
      <c r="I43" s="173" t="n"/>
      <c r="J43" s="173" t="n"/>
      <c r="K43" s="173" t="n"/>
      <c r="L43" s="173" t="n"/>
      <c r="M43" s="197" t="n"/>
      <c r="N43" s="18" t="n"/>
    </row>
    <row r="44">
      <c r="A44" s="8" t="n"/>
      <c r="B44" s="8" t="n"/>
      <c r="C44" s="13" t="inlineStr">
        <is>
          <t>Prepared by:</t>
        </is>
      </c>
      <c r="D44" s="13" t="n"/>
      <c r="E44" s="13" t="inlineStr">
        <is>
          <t>Verified by:</t>
        </is>
      </c>
      <c r="F44" s="22" t="n"/>
      <c r="G44" s="13" t="n"/>
      <c r="H44" s="13" t="inlineStr">
        <is>
          <t>Checked by:</t>
        </is>
      </c>
      <c r="I44" s="13" t="n"/>
      <c r="J44" s="13" t="inlineStr">
        <is>
          <t>Recommended by:</t>
        </is>
      </c>
      <c r="K44" s="13" t="n"/>
      <c r="L44" s="13" t="inlineStr">
        <is>
          <t>Approved by</t>
        </is>
      </c>
      <c r="M44" s="10" t="inlineStr">
        <is>
          <t>Approved by:</t>
        </is>
      </c>
      <c r="N44" s="18" t="n"/>
    </row>
    <row r="45">
      <c r="A45" s="8" t="n"/>
      <c r="B45" s="8" t="n"/>
      <c r="C45" s="13" t="n"/>
      <c r="D45" s="13" t="n"/>
      <c r="E45" s="14" t="n"/>
      <c r="F45" s="198" t="n"/>
      <c r="G45" s="13" t="n"/>
      <c r="H45" s="14" t="n"/>
      <c r="I45" s="14" t="n"/>
      <c r="J45" s="14" t="n"/>
      <c r="K45" s="13" t="n"/>
      <c r="L45" s="13" t="n"/>
      <c r="M45" s="10" t="n"/>
      <c r="N45" s="18" t="n"/>
    </row>
    <row r="46">
      <c r="A46" s="8" t="n"/>
      <c r="B46" s="8" t="n"/>
      <c r="C46" s="13" t="n"/>
      <c r="D46" s="13" t="n"/>
      <c r="E46" s="13" t="n"/>
      <c r="F46" s="198" t="n"/>
      <c r="G46" s="13" t="n"/>
      <c r="H46" s="13" t="n"/>
      <c r="I46" s="13" t="n"/>
      <c r="J46" s="13" t="n"/>
      <c r="K46" s="13" t="n"/>
      <c r="L46" s="13" t="n"/>
      <c r="M46" s="10" t="n"/>
      <c r="N46" s="18" t="n"/>
    </row>
    <row r="47">
      <c r="A47" s="8" t="n"/>
      <c r="B47" s="8" t="n"/>
      <c r="C47" s="17" t="inlineStr">
        <is>
          <t>Lee</t>
        </is>
      </c>
      <c r="D47" s="13" t="n"/>
      <c r="E47" s="16" t="n"/>
      <c r="F47" s="198" t="n"/>
      <c r="G47" s="13" t="n"/>
      <c r="H47" s="16" t="n"/>
      <c r="I47" s="13" t="n"/>
      <c r="J47" s="16" t="n"/>
      <c r="K47" s="13" t="n"/>
      <c r="L47" s="16" t="n"/>
      <c r="M47" s="10" t="n"/>
      <c r="N47" s="18" t="n"/>
    </row>
    <row r="48">
      <c r="A48" s="8" t="n"/>
      <c r="B48" s="8" t="n"/>
      <c r="C48" s="78" t="inlineStr">
        <is>
          <t>Lee Pei Ru</t>
        </is>
      </c>
      <c r="D48" s="74" t="n"/>
      <c r="E48" s="75" t="inlineStr">
        <is>
          <t>Yohana Yusrin</t>
        </is>
      </c>
      <c r="F48" s="199" t="n"/>
      <c r="G48" s="74" t="n"/>
      <c r="H48" s="199" t="inlineStr">
        <is>
          <t>Ernest Lim</t>
        </is>
      </c>
      <c r="I48" s="74" t="n"/>
      <c r="J48" s="199" t="inlineStr">
        <is>
          <t>Sivakumar</t>
        </is>
      </c>
      <c r="K48" s="199" t="n"/>
      <c r="L48" s="199" t="inlineStr">
        <is>
          <t>Chung Shi Huan</t>
        </is>
      </c>
      <c r="M48" s="79" t="n"/>
      <c r="N48" s="18" t="n"/>
    </row>
    <row r="49">
      <c r="A49" s="9" t="n"/>
      <c r="B49" s="9" t="n"/>
      <c r="C49" s="74" t="inlineStr">
        <is>
          <t>Asst Procurement Manager</t>
        </is>
      </c>
      <c r="D49" s="74" t="n"/>
      <c r="E49" s="74" t="inlineStr">
        <is>
          <t>Senior Project Engineering</t>
        </is>
      </c>
      <c r="F49" s="74" t="n"/>
      <c r="G49" s="74" t="n"/>
      <c r="H49" s="199" t="inlineStr">
        <is>
          <t>Snr. Procurement Manager</t>
        </is>
      </c>
      <c r="I49" s="199" t="n"/>
      <c r="J49" s="74" t="inlineStr">
        <is>
          <t>Head of IT</t>
        </is>
      </c>
      <c r="K49" s="74" t="n"/>
      <c r="L49" s="74" t="inlineStr">
        <is>
          <t>Head of Engineering</t>
        </is>
      </c>
      <c r="M49" s="79" t="n"/>
      <c r="N49" s="18" t="n"/>
    </row>
    <row r="50">
      <c r="A50" s="18" t="n"/>
      <c r="B50" s="18" t="n"/>
      <c r="C50" s="80" t="n"/>
      <c r="D50" s="76" t="n"/>
      <c r="E50" s="74" t="n"/>
      <c r="F50" s="74" t="n"/>
      <c r="G50" s="74" t="n"/>
      <c r="H50" s="74" t="n"/>
      <c r="I50" s="74" t="n"/>
      <c r="J50" s="200" t="n"/>
      <c r="K50" s="76" t="n"/>
      <c r="L50" s="200" t="n"/>
      <c r="M50" s="81" t="n"/>
      <c r="N50" s="18" t="n"/>
    </row>
    <row r="51">
      <c r="A51" s="18" t="n"/>
      <c r="B51" s="18" t="n"/>
      <c r="C51" s="24" t="n"/>
      <c r="D51" s="18" t="n"/>
      <c r="E51" s="18" t="n"/>
      <c r="F51" s="18" t="n"/>
      <c r="G51" s="18" t="n"/>
      <c r="H51" s="18" t="n"/>
      <c r="I51" s="18" t="n"/>
      <c r="J51" s="13" t="n"/>
      <c r="K51" s="18" t="n"/>
      <c r="L51" s="201" t="n"/>
      <c r="M51" s="23" t="n"/>
      <c r="N51" s="18" t="n"/>
    </row>
    <row r="52">
      <c r="N52" s="18" t="n"/>
    </row>
    <row r="53">
      <c r="C53" s="28" t="n"/>
    </row>
    <row r="54">
      <c r="C54" s="28" t="n"/>
      <c r="L54" s="2" t="n"/>
    </row>
    <row r="55">
      <c r="C55" s="28" t="n"/>
      <c r="L55" s="2" t="n"/>
    </row>
    <row r="56">
      <c r="C56" s="28" t="n"/>
      <c r="L56" s="2" t="n"/>
    </row>
    <row r="57">
      <c r="C57" s="28" t="n"/>
    </row>
    <row r="58">
      <c r="C58" s="28" t="n"/>
    </row>
    <row r="59">
      <c r="C59" s="28" t="n"/>
    </row>
    <row r="60">
      <c r="C60" s="28" t="n"/>
    </row>
  </sheetData>
  <mergeCells count="61">
    <mergeCell ref="C16:E16"/>
    <mergeCell ref="L17:M17"/>
    <mergeCell ref="O29:W29"/>
    <mergeCell ref="O20:W20"/>
    <mergeCell ref="L16:M16"/>
    <mergeCell ref="O26:W26"/>
    <mergeCell ref="C9:E9"/>
    <mergeCell ref="C24:M24"/>
    <mergeCell ref="G5:G7"/>
    <mergeCell ref="B1:M1"/>
    <mergeCell ref="C21:E21"/>
    <mergeCell ref="O22:W22"/>
    <mergeCell ref="B5:E7"/>
    <mergeCell ref="C12:E12"/>
    <mergeCell ref="O16:W16"/>
    <mergeCell ref="O25:W25"/>
    <mergeCell ref="O21:W21"/>
    <mergeCell ref="C11:E11"/>
    <mergeCell ref="C20:M20"/>
    <mergeCell ref="H6:I6"/>
    <mergeCell ref="C27:E27"/>
    <mergeCell ref="J6:K6"/>
    <mergeCell ref="C23:E23"/>
    <mergeCell ref="C8:E8"/>
    <mergeCell ref="L18:M18"/>
    <mergeCell ref="O27:W27"/>
    <mergeCell ref="C17:E17"/>
    <mergeCell ref="O12:W12"/>
    <mergeCell ref="O8:W8"/>
    <mergeCell ref="C22:M22"/>
    <mergeCell ref="O17:W17"/>
    <mergeCell ref="H17:I17"/>
    <mergeCell ref="O11:W11"/>
    <mergeCell ref="C28:E28"/>
    <mergeCell ref="C13:E13"/>
    <mergeCell ref="H16:I16"/>
    <mergeCell ref="H5:M5"/>
    <mergeCell ref="J16:K16"/>
    <mergeCell ref="O14:W14"/>
    <mergeCell ref="O23:W23"/>
    <mergeCell ref="C18:E18"/>
    <mergeCell ref="B2:H2"/>
    <mergeCell ref="C3:E3"/>
    <mergeCell ref="O13:W13"/>
    <mergeCell ref="F5:F7"/>
    <mergeCell ref="C15:E15"/>
    <mergeCell ref="A19:A20"/>
    <mergeCell ref="O19:W19"/>
    <mergeCell ref="C14:E14"/>
    <mergeCell ref="O28:W28"/>
    <mergeCell ref="L6:M6"/>
    <mergeCell ref="O24:W24"/>
    <mergeCell ref="O15:W15"/>
    <mergeCell ref="O18:W18"/>
    <mergeCell ref="H18:I18"/>
    <mergeCell ref="J18:K18"/>
    <mergeCell ref="C19:G19"/>
    <mergeCell ref="C26:E26"/>
    <mergeCell ref="C29:E29"/>
    <mergeCell ref="C25:E25"/>
    <mergeCell ref="J17:K17"/>
  </mergeCells>
  <conditionalFormatting sqref="E11:F13 E14:E15">
    <cfRule type="expression" priority="1" dxfId="3">
      <formula>#REF!="cancelled"</formula>
    </cfRule>
    <cfRule type="expression" priority="2" dxfId="2">
      <formula>OR(#REF!="Material Received",#REF!="Job completed")</formula>
    </cfRule>
    <cfRule type="expression" priority="3" dxfId="1">
      <formula>#REF!="PO Done"</formula>
    </cfRule>
    <cfRule type="expression" priority="4" dxfId="0">
      <formula>#REF!="RO / PR Done"</formula>
    </cfRule>
  </conditionalFormatting>
  <printOptions horizontalCentered="1"/>
  <pageMargins left="0.1968503937007874" right="0.03937007874015748" top="0.1574803149606299" bottom="0.1574803149606299" header="0.1181102362204725" footer="0.1181102362204725"/>
  <pageSetup orientation="portrait" scale="4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Micole Sia Siew Ping</dc:creator>
  <dcterms:created xsi:type="dcterms:W3CDTF">2024-12-31T07:02:24Z</dcterms:created>
  <dcterms:modified xsi:type="dcterms:W3CDTF">2026-03-31T01:47:26Z</dcterms:modified>
  <cp:lastModifiedBy>Sylvester Chung Jin Wen</cp:lastModifiedBy>
  <cp:lastPrinted>2026-03-26T10:43:27Z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0x010100223CED9C53918F449F341C0471E40D48</vt:lpwstr>
  </property>
  <property name="MediaServiceImageTags" fmtid="{D5CDD505-2E9C-101B-9397-08002B2CF9AE}" pid="3">
    <vt:lpwstr/>
  </property>
</Properties>
</file>